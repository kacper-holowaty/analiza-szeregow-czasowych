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cpe\.vscode\extensions\studia\time_series\lab03\"/>
    </mc:Choice>
  </mc:AlternateContent>
  <xr:revisionPtr revIDLastSave="0" documentId="13_ncr:1_{B347EF78-842F-4EFF-AE17-345FACE1547A}" xr6:coauthVersionLast="47" xr6:coauthVersionMax="47" xr10:uidLastSave="{00000000-0000-0000-0000-000000000000}"/>
  <bookViews>
    <workbookView xWindow="-108" yWindow="-108" windowWidth="23256" windowHeight="12456" firstSheet="1" activeTab="5" xr2:uid="{2977F778-294C-41E8-84DB-D41E801134F5}"/>
  </bookViews>
  <sheets>
    <sheet name="t.liniowy" sheetId="1" r:id="rId1"/>
    <sheet name="t.kwadratowy" sheetId="10" r:id="rId2"/>
    <sheet name="t.logistyczny" sheetId="11" r:id="rId3"/>
    <sheet name="t.potegowy" sheetId="15" r:id="rId4"/>
    <sheet name="t.wykładniczy" sheetId="17" r:id="rId5"/>
    <sheet name="Gretl" sheetId="19" r:id="rId6"/>
    <sheet name="t.potęgowy-analiza danych" sheetId="16" r:id="rId7"/>
    <sheet name="t.wykładniczy-analiza danych" sheetId="18" r:id="rId8"/>
    <sheet name="LOGARYTM NATURALNY OBLICZENIA" sheetId="3" r:id="rId9"/>
  </sheets>
  <definedNames>
    <definedName name="solver_adj" localSheetId="2" hidden="1">t.logistyczny!$F$6:$F$8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lhs1" localSheetId="2" hidden="1">t.logistyczny!$F$7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1</definedName>
    <definedName name="solver_nwt" localSheetId="2" hidden="1">1</definedName>
    <definedName name="solver_opt" localSheetId="2" hidden="1">t.logistyczny!$I$65</definedName>
    <definedName name="solver_pre" localSheetId="2" hidden="1">0.000001</definedName>
    <definedName name="solver_rbv" localSheetId="2" hidden="1">1</definedName>
    <definedName name="solver_rel1" localSheetId="2" hidden="1">3</definedName>
    <definedName name="solver_rhs1" localSheetId="2" hidden="1">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07" i="19" l="1"/>
  <c r="Q110" i="19"/>
  <c r="Q109" i="19"/>
  <c r="E67" i="3"/>
  <c r="E66" i="3"/>
  <c r="Q106" i="19"/>
  <c r="I43" i="3"/>
  <c r="I41" i="3"/>
  <c r="J91" i="1" l="1"/>
  <c r="J92" i="1"/>
  <c r="J93" i="1"/>
  <c r="J94" i="1"/>
  <c r="J90" i="1"/>
  <c r="D76" i="1" l="1" a="1"/>
  <c r="D76" i="1" s="1"/>
  <c r="B65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O6" i="11"/>
  <c r="O5" i="11"/>
  <c r="O4" i="11"/>
  <c r="O3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G36" i="11"/>
  <c r="H36" i="11" s="1"/>
  <c r="I36" i="11" s="1"/>
  <c r="G37" i="11"/>
  <c r="H37" i="11" s="1"/>
  <c r="I37" i="11" s="1"/>
  <c r="G38" i="11"/>
  <c r="H38" i="11" s="1"/>
  <c r="I38" i="11" s="1"/>
  <c r="G39" i="11"/>
  <c r="H39" i="11" s="1"/>
  <c r="I39" i="11" s="1"/>
  <c r="G40" i="11"/>
  <c r="H40" i="11" s="1"/>
  <c r="I40" i="11" s="1"/>
  <c r="G41" i="11"/>
  <c r="H41" i="11" s="1"/>
  <c r="I41" i="11" s="1"/>
  <c r="G42" i="11"/>
  <c r="H42" i="11" s="1"/>
  <c r="I42" i="11" s="1"/>
  <c r="G43" i="11"/>
  <c r="H43" i="11" s="1"/>
  <c r="I43" i="11" s="1"/>
  <c r="G44" i="11"/>
  <c r="H44" i="11" s="1"/>
  <c r="I44" i="11" s="1"/>
  <c r="G45" i="11"/>
  <c r="H45" i="11" s="1"/>
  <c r="I45" i="11" s="1"/>
  <c r="G46" i="11"/>
  <c r="H46" i="11" s="1"/>
  <c r="I46" i="11" s="1"/>
  <c r="G47" i="11"/>
  <c r="H47" i="11" s="1"/>
  <c r="I47" i="11" s="1"/>
  <c r="G48" i="11"/>
  <c r="H48" i="11" s="1"/>
  <c r="I48" i="11" s="1"/>
  <c r="G49" i="11"/>
  <c r="H49" i="11" s="1"/>
  <c r="I49" i="11" s="1"/>
  <c r="G50" i="11"/>
  <c r="H50" i="11" s="1"/>
  <c r="I50" i="11" s="1"/>
  <c r="G51" i="11"/>
  <c r="H51" i="11" s="1"/>
  <c r="I51" i="11" s="1"/>
  <c r="G52" i="11"/>
  <c r="H52" i="11" s="1"/>
  <c r="I52" i="11" s="1"/>
  <c r="G53" i="11"/>
  <c r="H53" i="11" s="1"/>
  <c r="I53" i="11" s="1"/>
  <c r="G54" i="11"/>
  <c r="H54" i="11" s="1"/>
  <c r="I54" i="11" s="1"/>
  <c r="G55" i="11"/>
  <c r="H55" i="11" s="1"/>
  <c r="I55" i="11" s="1"/>
  <c r="G56" i="11"/>
  <c r="H56" i="11" s="1"/>
  <c r="I56" i="11" s="1"/>
  <c r="G57" i="11"/>
  <c r="H57" i="11" s="1"/>
  <c r="I57" i="11" s="1"/>
  <c r="G58" i="11"/>
  <c r="H58" i="11" s="1"/>
  <c r="I58" i="11" s="1"/>
  <c r="G59" i="11"/>
  <c r="H59" i="11" s="1"/>
  <c r="I59" i="11" s="1"/>
  <c r="G60" i="11"/>
  <c r="H60" i="11" s="1"/>
  <c r="I60" i="11" s="1"/>
  <c r="G61" i="11"/>
  <c r="H61" i="11" s="1"/>
  <c r="I61" i="11" s="1"/>
  <c r="G62" i="11"/>
  <c r="H62" i="11" s="1"/>
  <c r="I62" i="11" s="1"/>
  <c r="G63" i="11"/>
  <c r="H63" i="11" s="1"/>
  <c r="I63" i="11" s="1"/>
  <c r="F4" i="11"/>
  <c r="B69" i="11"/>
  <c r="B68" i="11"/>
  <c r="F2" i="11"/>
  <c r="E36" i="11"/>
  <c r="E37" i="11" s="1"/>
  <c r="E38" i="11" s="1"/>
  <c r="E39" i="11" s="1"/>
  <c r="E40" i="11" s="1"/>
  <c r="E41" i="11" s="1"/>
  <c r="E42" i="11" s="1"/>
  <c r="E43" i="11" s="1"/>
  <c r="E44" i="11" s="1"/>
  <c r="E45" i="11" s="1"/>
  <c r="E46" i="11" s="1"/>
  <c r="E47" i="11" s="1"/>
  <c r="E48" i="11" s="1"/>
  <c r="E49" i="11" s="1"/>
  <c r="E50" i="11" s="1"/>
  <c r="E51" i="11" s="1"/>
  <c r="E52" i="11" s="1"/>
  <c r="E53" i="11" s="1"/>
  <c r="E54" i="11" s="1"/>
  <c r="E55" i="11" s="1"/>
  <c r="E56" i="11" s="1"/>
  <c r="E57" i="11" s="1"/>
  <c r="E58" i="11" s="1"/>
  <c r="E59" i="11" s="1"/>
  <c r="E60" i="11" s="1"/>
  <c r="E61" i="11" s="1"/>
  <c r="E62" i="11" s="1"/>
  <c r="E63" i="11" s="1"/>
  <c r="B6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I86" i="17"/>
  <c r="I85" i="17"/>
  <c r="F3" i="17"/>
  <c r="F4" i="17"/>
  <c r="F5" i="17"/>
  <c r="F6" i="17"/>
  <c r="F7" i="17"/>
  <c r="F8" i="17"/>
  <c r="F9" i="17"/>
  <c r="F10" i="17"/>
  <c r="F11" i="17"/>
  <c r="F12" i="17"/>
  <c r="F13" i="17"/>
  <c r="F14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7" i="17"/>
  <c r="F28" i="17"/>
  <c r="F29" i="17"/>
  <c r="F30" i="17"/>
  <c r="F31" i="17"/>
  <c r="F32" i="17"/>
  <c r="F33" i="17"/>
  <c r="F34" i="17"/>
  <c r="F35" i="17"/>
  <c r="F36" i="17"/>
  <c r="F37" i="17"/>
  <c r="F38" i="17"/>
  <c r="F39" i="17"/>
  <c r="F40" i="17"/>
  <c r="F41" i="17"/>
  <c r="F42" i="17"/>
  <c r="F43" i="17"/>
  <c r="F44" i="17"/>
  <c r="F45" i="17"/>
  <c r="F46" i="17"/>
  <c r="F47" i="17"/>
  <c r="F48" i="17"/>
  <c r="F49" i="17"/>
  <c r="F50" i="17"/>
  <c r="F51" i="17"/>
  <c r="F52" i="17"/>
  <c r="F53" i="17"/>
  <c r="F54" i="17"/>
  <c r="F55" i="17"/>
  <c r="F56" i="17"/>
  <c r="F57" i="17"/>
  <c r="F58" i="17"/>
  <c r="F59" i="17"/>
  <c r="F60" i="17"/>
  <c r="F61" i="17"/>
  <c r="F62" i="17"/>
  <c r="F63" i="17"/>
  <c r="F2" i="17"/>
  <c r="D68" i="17" a="1"/>
  <c r="B65" i="17"/>
  <c r="J63" i="17"/>
  <c r="J62" i="17"/>
  <c r="J61" i="17"/>
  <c r="J60" i="17"/>
  <c r="J59" i="17"/>
  <c r="J58" i="17"/>
  <c r="J57" i="17"/>
  <c r="J56" i="17"/>
  <c r="J55" i="17"/>
  <c r="J54" i="17"/>
  <c r="J53" i="17"/>
  <c r="J52" i="17"/>
  <c r="J51" i="17"/>
  <c r="J50" i="17"/>
  <c r="J49" i="17"/>
  <c r="J48" i="17"/>
  <c r="J47" i="17"/>
  <c r="J46" i="17"/>
  <c r="J45" i="17"/>
  <c r="J44" i="17"/>
  <c r="J43" i="17"/>
  <c r="J42" i="17"/>
  <c r="J41" i="17"/>
  <c r="J40" i="17"/>
  <c r="J39" i="17"/>
  <c r="J38" i="17"/>
  <c r="J37" i="17"/>
  <c r="J36" i="17"/>
  <c r="J35" i="17"/>
  <c r="J34" i="17"/>
  <c r="J33" i="17"/>
  <c r="J32" i="17"/>
  <c r="J31" i="17"/>
  <c r="J30" i="17"/>
  <c r="J29" i="17"/>
  <c r="J28" i="17"/>
  <c r="J27" i="17"/>
  <c r="J26" i="17"/>
  <c r="J25" i="17"/>
  <c r="J24" i="17"/>
  <c r="J23" i="17"/>
  <c r="J22" i="17"/>
  <c r="J21" i="17"/>
  <c r="J20" i="17"/>
  <c r="J19" i="17"/>
  <c r="J18" i="17"/>
  <c r="J17" i="17"/>
  <c r="J16" i="17"/>
  <c r="J15" i="17"/>
  <c r="J14" i="17"/>
  <c r="J13" i="17"/>
  <c r="J12" i="17"/>
  <c r="J11" i="17"/>
  <c r="J10" i="17"/>
  <c r="J9" i="17"/>
  <c r="J8" i="17"/>
  <c r="J7" i="17"/>
  <c r="J6" i="17"/>
  <c r="O5" i="17"/>
  <c r="J5" i="17"/>
  <c r="O6" i="17" s="1"/>
  <c r="J4" i="17"/>
  <c r="O3" i="17"/>
  <c r="J3" i="17"/>
  <c r="O4" i="17" s="1"/>
  <c r="I85" i="15"/>
  <c r="I86" i="15"/>
  <c r="O8" i="17" l="1"/>
  <c r="P6" i="17" s="1"/>
  <c r="D68" i="17"/>
  <c r="D76" i="17" s="1" a="1"/>
  <c r="D76" i="17" s="1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0" i="15"/>
  <c r="F21" i="15"/>
  <c r="F22" i="15"/>
  <c r="F23" i="15"/>
  <c r="F24" i="15"/>
  <c r="F25" i="15"/>
  <c r="F26" i="15"/>
  <c r="F27" i="15"/>
  <c r="F28" i="15"/>
  <c r="F29" i="15"/>
  <c r="F30" i="15"/>
  <c r="F31" i="15"/>
  <c r="F32" i="15"/>
  <c r="F33" i="15"/>
  <c r="F34" i="15"/>
  <c r="F35" i="15"/>
  <c r="F36" i="15"/>
  <c r="F37" i="15"/>
  <c r="F38" i="15"/>
  <c r="F39" i="15"/>
  <c r="F40" i="15"/>
  <c r="F41" i="15"/>
  <c r="F42" i="15"/>
  <c r="F43" i="15"/>
  <c r="F44" i="15"/>
  <c r="F45" i="15"/>
  <c r="F46" i="15"/>
  <c r="F47" i="15"/>
  <c r="F48" i="15"/>
  <c r="F49" i="15"/>
  <c r="F50" i="15"/>
  <c r="F51" i="15"/>
  <c r="F52" i="15"/>
  <c r="F53" i="15"/>
  <c r="F54" i="15"/>
  <c r="F55" i="15"/>
  <c r="F56" i="15"/>
  <c r="F57" i="15"/>
  <c r="F58" i="15"/>
  <c r="F59" i="15"/>
  <c r="F60" i="15"/>
  <c r="F61" i="15"/>
  <c r="F62" i="15"/>
  <c r="F63" i="15"/>
  <c r="F2" i="15"/>
  <c r="D72" i="15" a="1"/>
  <c r="D72" i="15" s="1"/>
  <c r="K25" i="17" l="1"/>
  <c r="K21" i="17"/>
  <c r="K33" i="17"/>
  <c r="K29" i="17"/>
  <c r="K41" i="17"/>
  <c r="K37" i="17"/>
  <c r="K57" i="17"/>
  <c r="K53" i="17"/>
  <c r="K5" i="17"/>
  <c r="K49" i="17"/>
  <c r="K45" i="17"/>
  <c r="K61" i="17"/>
  <c r="K13" i="17"/>
  <c r="K17" i="17"/>
  <c r="K9" i="17"/>
  <c r="P5" i="17"/>
  <c r="P4" i="17"/>
  <c r="D72" i="17" a="1"/>
  <c r="P3" i="17"/>
  <c r="G72" i="17" l="1" a="1"/>
  <c r="D72" i="17"/>
  <c r="K58" i="17"/>
  <c r="K50" i="17"/>
  <c r="K42" i="17"/>
  <c r="K34" i="17"/>
  <c r="K26" i="17"/>
  <c r="K18" i="17"/>
  <c r="K10" i="17"/>
  <c r="K6" i="17"/>
  <c r="K54" i="17"/>
  <c r="K22" i="17"/>
  <c r="P8" i="17"/>
  <c r="K46" i="17"/>
  <c r="K30" i="17"/>
  <c r="K14" i="17"/>
  <c r="K62" i="17"/>
  <c r="K38" i="17"/>
  <c r="K7" i="17"/>
  <c r="K51" i="17"/>
  <c r="K39" i="17"/>
  <c r="K47" i="17"/>
  <c r="K3" i="17"/>
  <c r="K55" i="17"/>
  <c r="K15" i="17"/>
  <c r="K63" i="17"/>
  <c r="K43" i="17"/>
  <c r="K23" i="17"/>
  <c r="K31" i="17"/>
  <c r="K11" i="17"/>
  <c r="K59" i="17"/>
  <c r="K19" i="17"/>
  <c r="K27" i="17"/>
  <c r="K35" i="17"/>
  <c r="K20" i="17"/>
  <c r="K8" i="17"/>
  <c r="K12" i="17"/>
  <c r="K60" i="17"/>
  <c r="K52" i="17"/>
  <c r="K44" i="17"/>
  <c r="K36" i="17"/>
  <c r="K28" i="17"/>
  <c r="K4" i="17"/>
  <c r="K48" i="17"/>
  <c r="K24" i="17"/>
  <c r="K16" i="17"/>
  <c r="K56" i="17"/>
  <c r="K40" i="17"/>
  <c r="K32" i="17"/>
  <c r="G72" i="17" l="1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D68" i="15" a="1"/>
  <c r="B65" i="15"/>
  <c r="J63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J24" i="15"/>
  <c r="J23" i="15"/>
  <c r="J22" i="15"/>
  <c r="J21" i="15"/>
  <c r="J20" i="15"/>
  <c r="J19" i="15"/>
  <c r="J18" i="15"/>
  <c r="J17" i="15"/>
  <c r="J16" i="15"/>
  <c r="J15" i="15"/>
  <c r="J14" i="15"/>
  <c r="J13" i="15"/>
  <c r="J12" i="15"/>
  <c r="J11" i="15"/>
  <c r="J10" i="15"/>
  <c r="J9" i="15"/>
  <c r="J8" i="15"/>
  <c r="J7" i="15"/>
  <c r="J6" i="15"/>
  <c r="J5" i="15"/>
  <c r="J4" i="15"/>
  <c r="O3" i="15"/>
  <c r="J3" i="15"/>
  <c r="O4" i="15" s="1"/>
  <c r="O6" i="1"/>
  <c r="O5" i="1"/>
  <c r="O4" i="1"/>
  <c r="O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O6" i="15" l="1"/>
  <c r="O5" i="15"/>
  <c r="D76" i="15" a="1"/>
  <c r="D76" i="15" s="1"/>
  <c r="D68" i="15"/>
  <c r="G59" i="17" l="1"/>
  <c r="H59" i="17" s="1"/>
  <c r="G51" i="17"/>
  <c r="H51" i="17" s="1"/>
  <c r="G43" i="17"/>
  <c r="H43" i="17" s="1"/>
  <c r="G35" i="17"/>
  <c r="H35" i="17" s="1"/>
  <c r="G27" i="17"/>
  <c r="H27" i="17" s="1"/>
  <c r="G19" i="17"/>
  <c r="H19" i="17" s="1"/>
  <c r="G11" i="17"/>
  <c r="H11" i="17" s="1"/>
  <c r="G62" i="17"/>
  <c r="H62" i="17" s="1"/>
  <c r="G54" i="17"/>
  <c r="H54" i="17" s="1"/>
  <c r="G46" i="17"/>
  <c r="H46" i="17" s="1"/>
  <c r="G38" i="17"/>
  <c r="H38" i="17" s="1"/>
  <c r="G30" i="17"/>
  <c r="H30" i="17" s="1"/>
  <c r="G22" i="17"/>
  <c r="H22" i="17" s="1"/>
  <c r="G14" i="17"/>
  <c r="H14" i="17" s="1"/>
  <c r="G8" i="17"/>
  <c r="H8" i="17" s="1"/>
  <c r="G57" i="17"/>
  <c r="H57" i="17" s="1"/>
  <c r="G49" i="17"/>
  <c r="H49" i="17" s="1"/>
  <c r="G41" i="17"/>
  <c r="H41" i="17" s="1"/>
  <c r="G33" i="17"/>
  <c r="H33" i="17" s="1"/>
  <c r="G25" i="17"/>
  <c r="H25" i="17" s="1"/>
  <c r="G17" i="17"/>
  <c r="H17" i="17" s="1"/>
  <c r="G9" i="17"/>
  <c r="H9" i="17" s="1"/>
  <c r="G3" i="17"/>
  <c r="H3" i="17" s="1"/>
  <c r="G15" i="17"/>
  <c r="H15" i="17" s="1"/>
  <c r="G5" i="17"/>
  <c r="H5" i="17" s="1"/>
  <c r="G18" i="17"/>
  <c r="H18" i="17" s="1"/>
  <c r="G60" i="17"/>
  <c r="H60" i="17" s="1"/>
  <c r="G52" i="17"/>
  <c r="H52" i="17" s="1"/>
  <c r="G44" i="17"/>
  <c r="H44" i="17" s="1"/>
  <c r="G36" i="17"/>
  <c r="H36" i="17" s="1"/>
  <c r="G28" i="17"/>
  <c r="H28" i="17" s="1"/>
  <c r="G20" i="17"/>
  <c r="H20" i="17" s="1"/>
  <c r="G12" i="17"/>
  <c r="H12" i="17" s="1"/>
  <c r="G4" i="17"/>
  <c r="H4" i="17" s="1"/>
  <c r="G47" i="17"/>
  <c r="H47" i="17" s="1"/>
  <c r="G31" i="17"/>
  <c r="H31" i="17" s="1"/>
  <c r="G58" i="17"/>
  <c r="H58" i="17" s="1"/>
  <c r="G42" i="17"/>
  <c r="H42" i="17" s="1"/>
  <c r="G63" i="17"/>
  <c r="H63" i="17" s="1"/>
  <c r="G55" i="17"/>
  <c r="H55" i="17" s="1"/>
  <c r="G39" i="17"/>
  <c r="H39" i="17" s="1"/>
  <c r="G23" i="17"/>
  <c r="H23" i="17" s="1"/>
  <c r="G50" i="17"/>
  <c r="H50" i="17" s="1"/>
  <c r="G26" i="17"/>
  <c r="H26" i="17" s="1"/>
  <c r="G10" i="17"/>
  <c r="H10" i="17" s="1"/>
  <c r="G6" i="17"/>
  <c r="H6" i="17" s="1"/>
  <c r="G2" i="17"/>
  <c r="H2" i="17" s="1"/>
  <c r="G24" i="17"/>
  <c r="H24" i="17" s="1"/>
  <c r="G34" i="17"/>
  <c r="H34" i="17" s="1"/>
  <c r="G61" i="17"/>
  <c r="H61" i="17" s="1"/>
  <c r="G53" i="17"/>
  <c r="H53" i="17" s="1"/>
  <c r="G45" i="17"/>
  <c r="H45" i="17" s="1"/>
  <c r="G37" i="17"/>
  <c r="H37" i="17" s="1"/>
  <c r="G29" i="17"/>
  <c r="H29" i="17" s="1"/>
  <c r="G21" i="17"/>
  <c r="H21" i="17" s="1"/>
  <c r="G13" i="17"/>
  <c r="H13" i="17" s="1"/>
  <c r="G7" i="17"/>
  <c r="H7" i="17" s="1"/>
  <c r="G56" i="17"/>
  <c r="H56" i="17" s="1"/>
  <c r="G48" i="17"/>
  <c r="H48" i="17" s="1"/>
  <c r="G40" i="17"/>
  <c r="H40" i="17" s="1"/>
  <c r="G32" i="17"/>
  <c r="H32" i="17" s="1"/>
  <c r="G16" i="17"/>
  <c r="H16" i="17" s="1"/>
  <c r="O8" i="15"/>
  <c r="G72" i="15" a="1"/>
  <c r="H65" i="17" l="1"/>
  <c r="I76" i="17" s="1"/>
  <c r="E86" i="17" s="1"/>
  <c r="P3" i="15"/>
  <c r="P4" i="15"/>
  <c r="P6" i="15"/>
  <c r="P5" i="15"/>
  <c r="G72" i="15"/>
  <c r="D86" i="17" l="1"/>
  <c r="D85" i="17"/>
  <c r="E85" i="17"/>
  <c r="K61" i="15"/>
  <c r="K53" i="15"/>
  <c r="K45" i="15"/>
  <c r="K37" i="15"/>
  <c r="K29" i="15"/>
  <c r="K21" i="15"/>
  <c r="K13" i="15"/>
  <c r="K25" i="15"/>
  <c r="K5" i="15"/>
  <c r="K57" i="15"/>
  <c r="K33" i="15"/>
  <c r="K49" i="15"/>
  <c r="K9" i="15"/>
  <c r="K41" i="15"/>
  <c r="K17" i="15"/>
  <c r="P8" i="15"/>
  <c r="K30" i="15"/>
  <c r="K62" i="15"/>
  <c r="K54" i="15"/>
  <c r="K22" i="15"/>
  <c r="K26" i="15"/>
  <c r="K6" i="15"/>
  <c r="K46" i="15"/>
  <c r="K38" i="15"/>
  <c r="K14" i="15"/>
  <c r="K34" i="15"/>
  <c r="K58" i="15"/>
  <c r="K10" i="15"/>
  <c r="K50" i="15"/>
  <c r="K42" i="15"/>
  <c r="K18" i="15"/>
  <c r="K7" i="15"/>
  <c r="K11" i="15"/>
  <c r="K23" i="15"/>
  <c r="K27" i="15"/>
  <c r="K39" i="15"/>
  <c r="K35" i="15"/>
  <c r="K47" i="15"/>
  <c r="K43" i="15"/>
  <c r="K55" i="15"/>
  <c r="K51" i="15"/>
  <c r="K63" i="15"/>
  <c r="K59" i="15"/>
  <c r="K15" i="15"/>
  <c r="K19" i="15"/>
  <c r="K31" i="15"/>
  <c r="K3" i="15"/>
  <c r="K56" i="15"/>
  <c r="K48" i="15"/>
  <c r="K40" i="15"/>
  <c r="K32" i="15"/>
  <c r="K24" i="15"/>
  <c r="K16" i="15"/>
  <c r="K8" i="15"/>
  <c r="K12" i="15"/>
  <c r="K28" i="15"/>
  <c r="K4" i="15"/>
  <c r="K36" i="15"/>
  <c r="K20" i="15"/>
  <c r="K44" i="15"/>
  <c r="K52" i="15"/>
  <c r="K60" i="15"/>
  <c r="G59" i="15" l="1"/>
  <c r="H59" i="15" s="1"/>
  <c r="G43" i="15"/>
  <c r="H43" i="15" s="1"/>
  <c r="G35" i="15"/>
  <c r="H35" i="15" s="1"/>
  <c r="G19" i="15"/>
  <c r="H19" i="15" s="1"/>
  <c r="G46" i="15"/>
  <c r="H46" i="15" s="1"/>
  <c r="G57" i="15"/>
  <c r="H57" i="15" s="1"/>
  <c r="G49" i="15"/>
  <c r="H49" i="15" s="1"/>
  <c r="G41" i="15"/>
  <c r="H41" i="15" s="1"/>
  <c r="G33" i="15"/>
  <c r="H33" i="15" s="1"/>
  <c r="G25" i="15"/>
  <c r="H25" i="15" s="1"/>
  <c r="G17" i="15"/>
  <c r="H17" i="15" s="1"/>
  <c r="G9" i="15"/>
  <c r="H9" i="15" s="1"/>
  <c r="G3" i="15"/>
  <c r="H3" i="15" s="1"/>
  <c r="G14" i="15"/>
  <c r="H14" i="15" s="1"/>
  <c r="G60" i="15"/>
  <c r="H60" i="15" s="1"/>
  <c r="G52" i="15"/>
  <c r="H52" i="15" s="1"/>
  <c r="G44" i="15"/>
  <c r="H44" i="15" s="1"/>
  <c r="G36" i="15"/>
  <c r="H36" i="15" s="1"/>
  <c r="G28" i="15"/>
  <c r="H28" i="15" s="1"/>
  <c r="G20" i="15"/>
  <c r="H20" i="15" s="1"/>
  <c r="G12" i="15"/>
  <c r="H12" i="15" s="1"/>
  <c r="G4" i="15"/>
  <c r="H4" i="15" s="1"/>
  <c r="G18" i="15"/>
  <c r="H18" i="15" s="1"/>
  <c r="G30" i="15"/>
  <c r="H30" i="15" s="1"/>
  <c r="G63" i="15"/>
  <c r="H63" i="15" s="1"/>
  <c r="G55" i="15"/>
  <c r="H55" i="15" s="1"/>
  <c r="G47" i="15"/>
  <c r="H47" i="15" s="1"/>
  <c r="G39" i="15"/>
  <c r="H39" i="15" s="1"/>
  <c r="G31" i="15"/>
  <c r="H31" i="15" s="1"/>
  <c r="G23" i="15"/>
  <c r="H23" i="15" s="1"/>
  <c r="G15" i="15"/>
  <c r="H15" i="15" s="1"/>
  <c r="G5" i="15"/>
  <c r="H5" i="15" s="1"/>
  <c r="G50" i="15"/>
  <c r="H50" i="15" s="1"/>
  <c r="G34" i="15"/>
  <c r="H34" i="15" s="1"/>
  <c r="G26" i="15"/>
  <c r="H26" i="15" s="1"/>
  <c r="G10" i="15"/>
  <c r="H10" i="15" s="1"/>
  <c r="G6" i="15"/>
  <c r="H6" i="15" s="1"/>
  <c r="G2" i="15"/>
  <c r="H2" i="15" s="1"/>
  <c r="G54" i="15"/>
  <c r="H54" i="15" s="1"/>
  <c r="G38" i="15"/>
  <c r="H38" i="15" s="1"/>
  <c r="G58" i="15"/>
  <c r="H58" i="15" s="1"/>
  <c r="G42" i="15"/>
  <c r="H42" i="15" s="1"/>
  <c r="G61" i="15"/>
  <c r="H61" i="15" s="1"/>
  <c r="G53" i="15"/>
  <c r="H53" i="15" s="1"/>
  <c r="G45" i="15"/>
  <c r="H45" i="15" s="1"/>
  <c r="G37" i="15"/>
  <c r="H37" i="15" s="1"/>
  <c r="G29" i="15"/>
  <c r="H29" i="15" s="1"/>
  <c r="G21" i="15"/>
  <c r="H21" i="15" s="1"/>
  <c r="G13" i="15"/>
  <c r="H13" i="15" s="1"/>
  <c r="G7" i="15"/>
  <c r="H7" i="15" s="1"/>
  <c r="G11" i="15"/>
  <c r="H11" i="15" s="1"/>
  <c r="G62" i="15"/>
  <c r="H62" i="15" s="1"/>
  <c r="G22" i="15"/>
  <c r="H22" i="15" s="1"/>
  <c r="G56" i="15"/>
  <c r="H56" i="15" s="1"/>
  <c r="G48" i="15"/>
  <c r="H48" i="15" s="1"/>
  <c r="G40" i="15"/>
  <c r="H40" i="15" s="1"/>
  <c r="G32" i="15"/>
  <c r="H32" i="15" s="1"/>
  <c r="G24" i="15"/>
  <c r="H24" i="15" s="1"/>
  <c r="G16" i="15"/>
  <c r="H16" i="15" s="1"/>
  <c r="G51" i="15"/>
  <c r="H51" i="15" s="1"/>
  <c r="G27" i="15"/>
  <c r="H27" i="15" s="1"/>
  <c r="G8" i="15"/>
  <c r="H8" i="15" s="1"/>
  <c r="H65" i="15" l="1"/>
  <c r="I76" i="15" s="1"/>
  <c r="D86" i="15" l="1"/>
  <c r="E85" i="15"/>
  <c r="D85" i="15"/>
  <c r="E86" i="15"/>
  <c r="D80" i="1" l="1" a="1"/>
  <c r="D80" i="1" s="1"/>
  <c r="D68" i="1" a="1"/>
  <c r="D68" i="1" s="1"/>
  <c r="B65" i="1"/>
  <c r="E35" i="3"/>
  <c r="E34" i="3"/>
  <c r="C34" i="3"/>
  <c r="C35" i="3"/>
  <c r="D72" i="1" l="1" a="1"/>
  <c r="D72" i="1" s="1"/>
  <c r="C72" i="11"/>
  <c r="C73" i="11" s="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J11" i="11"/>
  <c r="J10" i="11"/>
  <c r="J9" i="11"/>
  <c r="J8" i="11"/>
  <c r="J7" i="11"/>
  <c r="J6" i="11"/>
  <c r="J5" i="11"/>
  <c r="J4" i="11"/>
  <c r="J3" i="11"/>
  <c r="E3" i="11"/>
  <c r="G3" i="11" s="1"/>
  <c r="H3" i="11" s="1"/>
  <c r="I3" i="11" s="1"/>
  <c r="G2" i="11"/>
  <c r="H2" i="11" s="1"/>
  <c r="I2" i="11" s="1"/>
  <c r="J35" i="10"/>
  <c r="J34" i="10"/>
  <c r="J33" i="10"/>
  <c r="J32" i="10"/>
  <c r="J31" i="10"/>
  <c r="J30" i="10"/>
  <c r="J29" i="10"/>
  <c r="J28" i="10"/>
  <c r="J27" i="10"/>
  <c r="J26" i="10"/>
  <c r="J25" i="10"/>
  <c r="J24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O5" i="10" s="1"/>
  <c r="J7" i="10"/>
  <c r="O4" i="10" s="1"/>
  <c r="J6" i="10"/>
  <c r="O3" i="10" s="1"/>
  <c r="J5" i="10"/>
  <c r="J4" i="10"/>
  <c r="J3" i="10"/>
  <c r="E3" i="10"/>
  <c r="F2" i="10"/>
  <c r="E4" i="11" l="1"/>
  <c r="G4" i="11" s="1"/>
  <c r="H4" i="11" s="1"/>
  <c r="I4" i="11" s="1"/>
  <c r="O6" i="10"/>
  <c r="E4" i="10"/>
  <c r="E5" i="10" s="1"/>
  <c r="F5" i="10" s="1"/>
  <c r="F3" i="10"/>
  <c r="F3" i="11"/>
  <c r="E6" i="10"/>
  <c r="F4" i="10"/>
  <c r="E5" i="11" l="1"/>
  <c r="G5" i="11" s="1"/>
  <c r="H5" i="11" s="1"/>
  <c r="I5" i="11" s="1"/>
  <c r="O7" i="10"/>
  <c r="P4" i="10" s="1"/>
  <c r="O7" i="11"/>
  <c r="P5" i="11" s="1"/>
  <c r="E7" i="10"/>
  <c r="F6" i="10"/>
  <c r="P6" i="11" l="1"/>
  <c r="P4" i="11"/>
  <c r="E6" i="11"/>
  <c r="G6" i="11" s="1"/>
  <c r="H6" i="11" s="1"/>
  <c r="I6" i="11" s="1"/>
  <c r="K11" i="10"/>
  <c r="K19" i="10"/>
  <c r="K27" i="10"/>
  <c r="K35" i="10"/>
  <c r="K43" i="10"/>
  <c r="K51" i="10"/>
  <c r="K59" i="10"/>
  <c r="K55" i="10"/>
  <c r="K63" i="10"/>
  <c r="K15" i="10"/>
  <c r="K23" i="10"/>
  <c r="K31" i="10"/>
  <c r="K47" i="10"/>
  <c r="K39" i="10"/>
  <c r="K3" i="10"/>
  <c r="K7" i="10"/>
  <c r="P6" i="10"/>
  <c r="P5" i="10"/>
  <c r="P3" i="10"/>
  <c r="P7" i="10" s="1"/>
  <c r="G72" i="1" a="1"/>
  <c r="P3" i="11"/>
  <c r="K8" i="11"/>
  <c r="K4" i="11"/>
  <c r="F7" i="10"/>
  <c r="E8" i="10"/>
  <c r="P7" i="11" l="1"/>
  <c r="K7" i="11"/>
  <c r="K3" i="11"/>
  <c r="K5" i="11"/>
  <c r="K9" i="11"/>
  <c r="E7" i="11"/>
  <c r="E8" i="11" s="1"/>
  <c r="K12" i="10"/>
  <c r="K20" i="10"/>
  <c r="K28" i="10"/>
  <c r="K36" i="10"/>
  <c r="K44" i="10"/>
  <c r="K52" i="10"/>
  <c r="K60" i="10"/>
  <c r="K16" i="10"/>
  <c r="K24" i="10"/>
  <c r="K32" i="10"/>
  <c r="K40" i="10"/>
  <c r="K48" i="10"/>
  <c r="K56" i="10"/>
  <c r="K6" i="10"/>
  <c r="K10" i="10"/>
  <c r="K18" i="10"/>
  <c r="K26" i="10"/>
  <c r="K34" i="10"/>
  <c r="K42" i="10"/>
  <c r="K50" i="10"/>
  <c r="K58" i="10"/>
  <c r="K14" i="10"/>
  <c r="K22" i="10"/>
  <c r="K30" i="10"/>
  <c r="K38" i="10"/>
  <c r="K46" i="10"/>
  <c r="K54" i="10"/>
  <c r="K62" i="10"/>
  <c r="K5" i="10"/>
  <c r="K25" i="10"/>
  <c r="K57" i="10"/>
  <c r="K13" i="10"/>
  <c r="K21" i="10"/>
  <c r="K29" i="10"/>
  <c r="K37" i="10"/>
  <c r="K45" i="10"/>
  <c r="K53" i="10"/>
  <c r="K61" i="10"/>
  <c r="K17" i="10"/>
  <c r="K33" i="10"/>
  <c r="K41" i="10"/>
  <c r="K49" i="10"/>
  <c r="K4" i="10"/>
  <c r="K8" i="10"/>
  <c r="K9" i="10"/>
  <c r="G72" i="1"/>
  <c r="K6" i="11"/>
  <c r="F8" i="10"/>
  <c r="E9" i="10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2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G7" i="11" l="1"/>
  <c r="H7" i="11" s="1"/>
  <c r="I7" i="11" s="1"/>
  <c r="F41" i="1"/>
  <c r="G41" i="1" s="1"/>
  <c r="H41" i="1" s="1"/>
  <c r="F49" i="1"/>
  <c r="G49" i="1" s="1"/>
  <c r="H49" i="1" s="1"/>
  <c r="F57" i="1"/>
  <c r="G57" i="1" s="1"/>
  <c r="H57" i="1" s="1"/>
  <c r="F42" i="1"/>
  <c r="G42" i="1" s="1"/>
  <c r="H42" i="1" s="1"/>
  <c r="F50" i="1"/>
  <c r="G50" i="1" s="1"/>
  <c r="H50" i="1" s="1"/>
  <c r="F61" i="1"/>
  <c r="G61" i="1" s="1"/>
  <c r="H61" i="1" s="1"/>
  <c r="F58" i="1"/>
  <c r="G58" i="1" s="1"/>
  <c r="H58" i="1" s="1"/>
  <c r="F62" i="1"/>
  <c r="G62" i="1" s="1"/>
  <c r="H62" i="1" s="1"/>
  <c r="F43" i="1"/>
  <c r="G43" i="1" s="1"/>
  <c r="H43" i="1" s="1"/>
  <c r="F51" i="1"/>
  <c r="G51" i="1" s="1"/>
  <c r="H51" i="1" s="1"/>
  <c r="F59" i="1"/>
  <c r="G59" i="1" s="1"/>
  <c r="H59" i="1" s="1"/>
  <c r="F53" i="1"/>
  <c r="G53" i="1" s="1"/>
  <c r="H53" i="1" s="1"/>
  <c r="F46" i="1"/>
  <c r="G46" i="1" s="1"/>
  <c r="H46" i="1" s="1"/>
  <c r="F36" i="1"/>
  <c r="G36" i="1" s="1"/>
  <c r="H36" i="1" s="1"/>
  <c r="F44" i="1"/>
  <c r="G44" i="1" s="1"/>
  <c r="H44" i="1" s="1"/>
  <c r="F52" i="1"/>
  <c r="G52" i="1" s="1"/>
  <c r="H52" i="1" s="1"/>
  <c r="F60" i="1"/>
  <c r="G60" i="1" s="1"/>
  <c r="H60" i="1" s="1"/>
  <c r="F37" i="1"/>
  <c r="G37" i="1" s="1"/>
  <c r="H37" i="1" s="1"/>
  <c r="F45" i="1"/>
  <c r="G45" i="1" s="1"/>
  <c r="H45" i="1" s="1"/>
  <c r="F38" i="1"/>
  <c r="G38" i="1" s="1"/>
  <c r="H38" i="1" s="1"/>
  <c r="F39" i="1"/>
  <c r="G39" i="1" s="1"/>
  <c r="H39" i="1" s="1"/>
  <c r="F47" i="1"/>
  <c r="G47" i="1" s="1"/>
  <c r="H47" i="1" s="1"/>
  <c r="F55" i="1"/>
  <c r="G55" i="1" s="1"/>
  <c r="H55" i="1" s="1"/>
  <c r="F63" i="1"/>
  <c r="G63" i="1" s="1"/>
  <c r="H63" i="1" s="1"/>
  <c r="F40" i="1"/>
  <c r="G40" i="1" s="1"/>
  <c r="H40" i="1" s="1"/>
  <c r="F48" i="1"/>
  <c r="G48" i="1" s="1"/>
  <c r="H48" i="1" s="1"/>
  <c r="F56" i="1"/>
  <c r="G56" i="1" s="1"/>
  <c r="H56" i="1" s="1"/>
  <c r="F54" i="1"/>
  <c r="G54" i="1" s="1"/>
  <c r="H54" i="1" s="1"/>
  <c r="E9" i="11"/>
  <c r="G8" i="11"/>
  <c r="H8" i="11" s="1"/>
  <c r="I8" i="11" s="1"/>
  <c r="F9" i="10"/>
  <c r="E10" i="10"/>
  <c r="E10" i="11" l="1"/>
  <c r="G9" i="11"/>
  <c r="H9" i="11" s="1"/>
  <c r="I9" i="11" s="1"/>
  <c r="E11" i="10"/>
  <c r="F10" i="10"/>
  <c r="E11" i="11" l="1"/>
  <c r="G10" i="11"/>
  <c r="H10" i="11" s="1"/>
  <c r="I10" i="11" s="1"/>
  <c r="E12" i="10"/>
  <c r="F11" i="10"/>
  <c r="I86" i="1"/>
  <c r="J22" i="1"/>
  <c r="J3" i="1"/>
  <c r="J4" i="1"/>
  <c r="J12" i="1"/>
  <c r="J27" i="1"/>
  <c r="J30" i="1"/>
  <c r="J23" i="1"/>
  <c r="J9" i="1"/>
  <c r="J11" i="1"/>
  <c r="J19" i="1"/>
  <c r="J6" i="1"/>
  <c r="J14" i="1"/>
  <c r="J29" i="1"/>
  <c r="J16" i="1"/>
  <c r="J31" i="1"/>
  <c r="J25" i="1"/>
  <c r="J33" i="1"/>
  <c r="J7" i="1"/>
  <c r="J20" i="1"/>
  <c r="J8" i="1"/>
  <c r="J21" i="1"/>
  <c r="J15" i="1"/>
  <c r="J28" i="1"/>
  <c r="J17" i="1"/>
  <c r="J5" i="1"/>
  <c r="J24" i="1"/>
  <c r="J13" i="1"/>
  <c r="J32" i="1"/>
  <c r="J10" i="1"/>
  <c r="J18" i="1"/>
  <c r="J26" i="1"/>
  <c r="G11" i="11" l="1"/>
  <c r="H11" i="11" s="1"/>
  <c r="I11" i="11" s="1"/>
  <c r="E12" i="11"/>
  <c r="E13" i="10"/>
  <c r="F12" i="10"/>
  <c r="E13" i="11" l="1"/>
  <c r="G12" i="11"/>
  <c r="H12" i="11" s="1"/>
  <c r="I12" i="11" s="1"/>
  <c r="F13" i="10"/>
  <c r="E14" i="10"/>
  <c r="O8" i="1"/>
  <c r="E14" i="11" l="1"/>
  <c r="G13" i="11"/>
  <c r="H13" i="11" s="1"/>
  <c r="I13" i="11" s="1"/>
  <c r="F14" i="10"/>
  <c r="E15" i="10"/>
  <c r="P6" i="1"/>
  <c r="P5" i="1"/>
  <c r="P4" i="1"/>
  <c r="P3" i="1"/>
  <c r="K10" i="1" l="1"/>
  <c r="K18" i="1"/>
  <c r="K26" i="1"/>
  <c r="K34" i="1"/>
  <c r="K42" i="1"/>
  <c r="K50" i="1"/>
  <c r="K58" i="1"/>
  <c r="K6" i="1"/>
  <c r="K14" i="1"/>
  <c r="K22" i="1"/>
  <c r="K30" i="1"/>
  <c r="K38" i="1"/>
  <c r="K46" i="1"/>
  <c r="K54" i="1"/>
  <c r="K62" i="1"/>
  <c r="K11" i="1"/>
  <c r="K19" i="1"/>
  <c r="K27" i="1"/>
  <c r="K35" i="1"/>
  <c r="K43" i="1"/>
  <c r="K51" i="1"/>
  <c r="K59" i="1"/>
  <c r="K3" i="1"/>
  <c r="K15" i="1"/>
  <c r="K23" i="1"/>
  <c r="K31" i="1"/>
  <c r="K39" i="1"/>
  <c r="K47" i="1"/>
  <c r="K55" i="1"/>
  <c r="K63" i="1"/>
  <c r="K7" i="1"/>
  <c r="K20" i="1"/>
  <c r="K28" i="1"/>
  <c r="K44" i="1"/>
  <c r="K52" i="1"/>
  <c r="K12" i="1"/>
  <c r="K36" i="1"/>
  <c r="K60" i="1"/>
  <c r="K4" i="1"/>
  <c r="K8" i="1"/>
  <c r="K16" i="1"/>
  <c r="K24" i="1"/>
  <c r="K32" i="1"/>
  <c r="K40" i="1"/>
  <c r="K48" i="1"/>
  <c r="K56" i="1"/>
  <c r="K17" i="1"/>
  <c r="K33" i="1"/>
  <c r="K49" i="1"/>
  <c r="K9" i="1"/>
  <c r="K5" i="1"/>
  <c r="K41" i="1"/>
  <c r="K57" i="1"/>
  <c r="K13" i="1"/>
  <c r="K21" i="1"/>
  <c r="K29" i="1"/>
  <c r="K37" i="1"/>
  <c r="K45" i="1"/>
  <c r="K53" i="1"/>
  <c r="K61" i="1"/>
  <c r="K25" i="1"/>
  <c r="G14" i="11"/>
  <c r="H14" i="11" s="1"/>
  <c r="I14" i="11" s="1"/>
  <c r="E15" i="11"/>
  <c r="F15" i="10"/>
  <c r="E16" i="10"/>
  <c r="F3" i="1"/>
  <c r="G3" i="1" s="1"/>
  <c r="H3" i="1" s="1"/>
  <c r="F34" i="1"/>
  <c r="G34" i="1" s="1"/>
  <c r="H34" i="1" s="1"/>
  <c r="F35" i="1"/>
  <c r="G35" i="1" s="1"/>
  <c r="H35" i="1" s="1"/>
  <c r="F2" i="1"/>
  <c r="G2" i="1" s="1"/>
  <c r="H2" i="1" s="1"/>
  <c r="F16" i="1"/>
  <c r="G16" i="1" s="1"/>
  <c r="H16" i="1" s="1"/>
  <c r="F33" i="1"/>
  <c r="G33" i="1" s="1"/>
  <c r="H33" i="1" s="1"/>
  <c r="F14" i="1"/>
  <c r="G14" i="1" s="1"/>
  <c r="H14" i="1" s="1"/>
  <c r="F31" i="1"/>
  <c r="G31" i="1" s="1"/>
  <c r="H31" i="1" s="1"/>
  <c r="F6" i="1"/>
  <c r="G6" i="1" s="1"/>
  <c r="H6" i="1" s="1"/>
  <c r="F12" i="1"/>
  <c r="G12" i="1" s="1"/>
  <c r="H12" i="1" s="1"/>
  <c r="F17" i="1"/>
  <c r="G17" i="1" s="1"/>
  <c r="H17" i="1" s="1"/>
  <c r="F23" i="1"/>
  <c r="G23" i="1" s="1"/>
  <c r="H23" i="1" s="1"/>
  <c r="F29" i="1"/>
  <c r="G29" i="1" s="1"/>
  <c r="H29" i="1" s="1"/>
  <c r="F4" i="1"/>
  <c r="G4" i="1" s="1"/>
  <c r="H4" i="1" s="1"/>
  <c r="F19" i="1"/>
  <c r="G19" i="1" s="1"/>
  <c r="H19" i="1" s="1"/>
  <c r="F28" i="1"/>
  <c r="G28" i="1" s="1"/>
  <c r="H28" i="1" s="1"/>
  <c r="F20" i="1"/>
  <c r="G20" i="1" s="1"/>
  <c r="H20" i="1" s="1"/>
  <c r="F9" i="1"/>
  <c r="G9" i="1" s="1"/>
  <c r="H9" i="1" s="1"/>
  <c r="F27" i="1"/>
  <c r="G27" i="1" s="1"/>
  <c r="H27" i="1" s="1"/>
  <c r="F10" i="1"/>
  <c r="G10" i="1" s="1"/>
  <c r="H10" i="1" s="1"/>
  <c r="F7" i="1"/>
  <c r="G7" i="1" s="1"/>
  <c r="H7" i="1" s="1"/>
  <c r="F32" i="1"/>
  <c r="G32" i="1" s="1"/>
  <c r="H32" i="1" s="1"/>
  <c r="F5" i="1"/>
  <c r="G5" i="1" s="1"/>
  <c r="H5" i="1" s="1"/>
  <c r="F11" i="1"/>
  <c r="G11" i="1" s="1"/>
  <c r="H11" i="1" s="1"/>
  <c r="F22" i="1"/>
  <c r="G22" i="1" s="1"/>
  <c r="H22" i="1" s="1"/>
  <c r="F8" i="1"/>
  <c r="G8" i="1" s="1"/>
  <c r="H8" i="1" s="1"/>
  <c r="F25" i="1"/>
  <c r="G25" i="1" s="1"/>
  <c r="H25" i="1" s="1"/>
  <c r="F15" i="1"/>
  <c r="G15" i="1" s="1"/>
  <c r="H15" i="1" s="1"/>
  <c r="F21" i="1"/>
  <c r="G21" i="1" s="1"/>
  <c r="H21" i="1" s="1"/>
  <c r="F13" i="1"/>
  <c r="G13" i="1" s="1"/>
  <c r="H13" i="1" s="1"/>
  <c r="F26" i="1"/>
  <c r="G26" i="1" s="1"/>
  <c r="H26" i="1" s="1"/>
  <c r="F24" i="1"/>
  <c r="G24" i="1" s="1"/>
  <c r="H24" i="1" s="1"/>
  <c r="F30" i="1"/>
  <c r="G30" i="1" s="1"/>
  <c r="H30" i="1" s="1"/>
  <c r="F18" i="1"/>
  <c r="G18" i="1" s="1"/>
  <c r="H18" i="1" s="1"/>
  <c r="P8" i="1"/>
  <c r="H65" i="1" l="1"/>
  <c r="I76" i="1" s="1"/>
  <c r="G15" i="11"/>
  <c r="H15" i="11" s="1"/>
  <c r="I15" i="11" s="1"/>
  <c r="E16" i="11"/>
  <c r="F16" i="10"/>
  <c r="E17" i="10"/>
  <c r="D85" i="1" l="1"/>
  <c r="E80" i="1" s="1"/>
  <c r="F80" i="1" s="1"/>
  <c r="G80" i="1" s="1"/>
  <c r="E17" i="11"/>
  <c r="G16" i="11"/>
  <c r="H16" i="11" s="1"/>
  <c r="I16" i="11" s="1"/>
  <c r="F17" i="10"/>
  <c r="E18" i="10"/>
  <c r="E85" i="1" l="1"/>
  <c r="E86" i="1"/>
  <c r="E81" i="1" s="1"/>
  <c r="F81" i="1" s="1"/>
  <c r="G81" i="1" s="1"/>
  <c r="D86" i="1"/>
  <c r="E18" i="11"/>
  <c r="G17" i="11"/>
  <c r="H17" i="11" s="1"/>
  <c r="I17" i="11" s="1"/>
  <c r="E19" i="10"/>
  <c r="F18" i="10"/>
  <c r="G18" i="11" l="1"/>
  <c r="H18" i="11" s="1"/>
  <c r="I18" i="11" s="1"/>
  <c r="E19" i="11"/>
  <c r="E20" i="10"/>
  <c r="F19" i="10"/>
  <c r="G19" i="11" l="1"/>
  <c r="H19" i="11" s="1"/>
  <c r="I19" i="11" s="1"/>
  <c r="E20" i="11"/>
  <c r="E21" i="10"/>
  <c r="F20" i="10"/>
  <c r="E21" i="11" l="1"/>
  <c r="G20" i="11"/>
  <c r="H20" i="11" s="1"/>
  <c r="I20" i="11" s="1"/>
  <c r="F21" i="10"/>
  <c r="E22" i="10"/>
  <c r="E22" i="11" l="1"/>
  <c r="G21" i="11"/>
  <c r="H21" i="11" s="1"/>
  <c r="I21" i="11" s="1"/>
  <c r="F22" i="10"/>
  <c r="E23" i="10"/>
  <c r="G22" i="11" l="1"/>
  <c r="H22" i="11" s="1"/>
  <c r="I22" i="11" s="1"/>
  <c r="E23" i="11"/>
  <c r="F23" i="10"/>
  <c r="E24" i="10"/>
  <c r="G23" i="11" l="1"/>
  <c r="H23" i="11" s="1"/>
  <c r="I23" i="11" s="1"/>
  <c r="E24" i="11"/>
  <c r="F24" i="10"/>
  <c r="E25" i="10"/>
  <c r="E25" i="11" l="1"/>
  <c r="G24" i="11"/>
  <c r="H24" i="11" s="1"/>
  <c r="I24" i="11" s="1"/>
  <c r="E26" i="10"/>
  <c r="F25" i="10"/>
  <c r="E26" i="11" l="1"/>
  <c r="G25" i="11"/>
  <c r="H25" i="11" s="1"/>
  <c r="I25" i="11" s="1"/>
  <c r="E27" i="10"/>
  <c r="F26" i="10"/>
  <c r="E27" i="11" l="1"/>
  <c r="G26" i="11"/>
  <c r="H26" i="11" s="1"/>
  <c r="I26" i="11" s="1"/>
  <c r="E28" i="10"/>
  <c r="F27" i="10"/>
  <c r="G27" i="11" l="1"/>
  <c r="H27" i="11" s="1"/>
  <c r="I27" i="11" s="1"/>
  <c r="E28" i="11"/>
  <c r="E29" i="10"/>
  <c r="F28" i="10"/>
  <c r="E29" i="11" l="1"/>
  <c r="G28" i="11"/>
  <c r="H28" i="11" s="1"/>
  <c r="I28" i="11" s="1"/>
  <c r="F29" i="10"/>
  <c r="E30" i="10"/>
  <c r="E30" i="11" l="1"/>
  <c r="G29" i="11"/>
  <c r="H29" i="11" s="1"/>
  <c r="I29" i="11" s="1"/>
  <c r="F30" i="10"/>
  <c r="E31" i="10"/>
  <c r="G30" i="11" l="1"/>
  <c r="H30" i="11" s="1"/>
  <c r="I30" i="11" s="1"/>
  <c r="E31" i="11"/>
  <c r="F31" i="10"/>
  <c r="E32" i="10"/>
  <c r="G31" i="11" l="1"/>
  <c r="H31" i="11" s="1"/>
  <c r="I31" i="11" s="1"/>
  <c r="E32" i="11"/>
  <c r="F32" i="10"/>
  <c r="E33" i="10"/>
  <c r="E33" i="11" l="1"/>
  <c r="G32" i="11"/>
  <c r="H32" i="11" s="1"/>
  <c r="I32" i="11" s="1"/>
  <c r="F33" i="10"/>
  <c r="E34" i="10"/>
  <c r="E34" i="11" l="1"/>
  <c r="G33" i="11"/>
  <c r="H33" i="11" s="1"/>
  <c r="I33" i="11" s="1"/>
  <c r="E35" i="10"/>
  <c r="F34" i="10"/>
  <c r="F35" i="10" l="1"/>
  <c r="E36" i="10"/>
  <c r="G34" i="11"/>
  <c r="H34" i="11" s="1"/>
  <c r="I34" i="11" s="1"/>
  <c r="E35" i="11"/>
  <c r="G35" i="11" s="1"/>
  <c r="H35" i="11" s="1"/>
  <c r="I35" i="11" s="1"/>
  <c r="I65" i="11" l="1"/>
  <c r="I67" i="11" s="1"/>
  <c r="F36" i="10"/>
  <c r="E37" i="10"/>
  <c r="E38" i="10" l="1"/>
  <c r="F37" i="10"/>
  <c r="E39" i="10" l="1"/>
  <c r="F38" i="10"/>
  <c r="E40" i="10" l="1"/>
  <c r="F39" i="10"/>
  <c r="E41" i="10" l="1"/>
  <c r="F40" i="10"/>
  <c r="E42" i="10" l="1"/>
  <c r="F41" i="10"/>
  <c r="E43" i="10" l="1"/>
  <c r="F42" i="10"/>
  <c r="E44" i="10" l="1"/>
  <c r="F43" i="10"/>
  <c r="E45" i="10" l="1"/>
  <c r="F44" i="10"/>
  <c r="E46" i="10" l="1"/>
  <c r="F45" i="10"/>
  <c r="E47" i="10" l="1"/>
  <c r="F46" i="10"/>
  <c r="E48" i="10" l="1"/>
  <c r="F47" i="10"/>
  <c r="E49" i="10" l="1"/>
  <c r="F48" i="10"/>
  <c r="E50" i="10" l="1"/>
  <c r="F49" i="10"/>
  <c r="E51" i="10" l="1"/>
  <c r="F50" i="10"/>
  <c r="E52" i="10" l="1"/>
  <c r="F51" i="10"/>
  <c r="E53" i="10" l="1"/>
  <c r="F52" i="10"/>
  <c r="E54" i="10" l="1"/>
  <c r="F53" i="10"/>
  <c r="E55" i="10" l="1"/>
  <c r="F54" i="10"/>
  <c r="E56" i="10" l="1"/>
  <c r="F55" i="10"/>
  <c r="E57" i="10" l="1"/>
  <c r="F56" i="10"/>
  <c r="E58" i="10" l="1"/>
  <c r="F57" i="10"/>
  <c r="E59" i="10" l="1"/>
  <c r="F58" i="10"/>
  <c r="E60" i="10" l="1"/>
  <c r="F59" i="10"/>
  <c r="E61" i="10" l="1"/>
  <c r="F60" i="10"/>
  <c r="E62" i="10" l="1"/>
  <c r="F61" i="10"/>
  <c r="E63" i="10" l="1"/>
  <c r="F63" i="10" s="1"/>
  <c r="D67" i="10" s="1" a="1"/>
  <c r="F62" i="10"/>
  <c r="D67" i="10" l="1"/>
  <c r="D71" i="10" a="1"/>
  <c r="D80" i="10" a="1"/>
  <c r="D80" i="10" s="1"/>
  <c r="D71" i="10" l="1"/>
  <c r="D75" i="10" a="1"/>
  <c r="D75" i="10" l="1"/>
  <c r="D85" i="10" s="1" a="1"/>
  <c r="D85" i="10" l="1"/>
  <c r="D90" i="10"/>
  <c r="D91" i="10" s="1"/>
  <c r="G14" i="10" l="1"/>
  <c r="H14" i="10" s="1"/>
  <c r="I14" i="10" s="1"/>
  <c r="G22" i="10"/>
  <c r="H22" i="10" s="1"/>
  <c r="I22" i="10" s="1"/>
  <c r="G16" i="10"/>
  <c r="H16" i="10" s="1"/>
  <c r="I16" i="10" s="1"/>
  <c r="G40" i="10"/>
  <c r="H40" i="10" s="1"/>
  <c r="I40" i="10" s="1"/>
  <c r="G17" i="10"/>
  <c r="H17" i="10" s="1"/>
  <c r="I17" i="10" s="1"/>
  <c r="G9" i="10"/>
  <c r="H9" i="10" s="1"/>
  <c r="I9" i="10" s="1"/>
  <c r="G48" i="10"/>
  <c r="H48" i="10" s="1"/>
  <c r="I48" i="10" s="1"/>
  <c r="G56" i="10"/>
  <c r="H56" i="10" s="1"/>
  <c r="I56" i="10" s="1"/>
  <c r="G43" i="10"/>
  <c r="H43" i="10" s="1"/>
  <c r="I43" i="10" s="1"/>
  <c r="G44" i="10"/>
  <c r="H44" i="10" s="1"/>
  <c r="I44" i="10" s="1"/>
  <c r="G47" i="10"/>
  <c r="H47" i="10" s="1"/>
  <c r="I47" i="10" s="1"/>
  <c r="G23" i="10"/>
  <c r="H23" i="10" s="1"/>
  <c r="I23" i="10" s="1"/>
  <c r="G8" i="10"/>
  <c r="H8" i="10" s="1"/>
  <c r="I8" i="10" s="1"/>
  <c r="G6" i="10"/>
  <c r="H6" i="10" s="1"/>
  <c r="I6" i="10" s="1"/>
  <c r="G35" i="10"/>
  <c r="H35" i="10" s="1"/>
  <c r="I35" i="10" s="1"/>
  <c r="G30" i="10"/>
  <c r="H30" i="10" s="1"/>
  <c r="I30" i="10" s="1"/>
  <c r="G26" i="10"/>
  <c r="H26" i="10" s="1"/>
  <c r="I26" i="10" s="1"/>
  <c r="G37" i="10"/>
  <c r="H37" i="10" s="1"/>
  <c r="I37" i="10" s="1"/>
  <c r="G33" i="10"/>
  <c r="H33" i="10" s="1"/>
  <c r="I33" i="10" s="1"/>
  <c r="G13" i="10"/>
  <c r="H13" i="10" s="1"/>
  <c r="I13" i="10" s="1"/>
  <c r="G39" i="10"/>
  <c r="H39" i="10" s="1"/>
  <c r="I39" i="10" s="1"/>
  <c r="G2" i="10"/>
  <c r="H2" i="10" s="1"/>
  <c r="I2" i="10" s="1"/>
  <c r="G51" i="10"/>
  <c r="H51" i="10" s="1"/>
  <c r="I51" i="10" s="1"/>
  <c r="G60" i="10"/>
  <c r="H60" i="10" s="1"/>
  <c r="I60" i="10" s="1"/>
  <c r="G55" i="10"/>
  <c r="H55" i="10" s="1"/>
  <c r="I55" i="10" s="1"/>
  <c r="G15" i="10"/>
  <c r="H15" i="10" s="1"/>
  <c r="I15" i="10" s="1"/>
  <c r="G7" i="10"/>
  <c r="H7" i="10" s="1"/>
  <c r="I7" i="10" s="1"/>
  <c r="G27" i="10"/>
  <c r="H27" i="10" s="1"/>
  <c r="I27" i="10" s="1"/>
  <c r="G52" i="10"/>
  <c r="H52" i="10" s="1"/>
  <c r="I52" i="10" s="1"/>
  <c r="G20" i="10"/>
  <c r="H20" i="10" s="1"/>
  <c r="I20" i="10" s="1"/>
  <c r="G11" i="10"/>
  <c r="H11" i="10" s="1"/>
  <c r="I11" i="10" s="1"/>
  <c r="G57" i="10"/>
  <c r="H57" i="10" s="1"/>
  <c r="I57" i="10" s="1"/>
  <c r="G46" i="10"/>
  <c r="H46" i="10" s="1"/>
  <c r="I46" i="10" s="1"/>
  <c r="G12" i="10"/>
  <c r="H12" i="10" s="1"/>
  <c r="I12" i="10" s="1"/>
  <c r="G18" i="10"/>
  <c r="H18" i="10" s="1"/>
  <c r="I18" i="10" s="1"/>
  <c r="G42" i="10"/>
  <c r="H42" i="10" s="1"/>
  <c r="I42" i="10" s="1"/>
  <c r="G54" i="10"/>
  <c r="H54" i="10" s="1"/>
  <c r="I54" i="10" s="1"/>
  <c r="G32" i="10"/>
  <c r="H32" i="10" s="1"/>
  <c r="I32" i="10" s="1"/>
  <c r="G25" i="10"/>
  <c r="H25" i="10" s="1"/>
  <c r="I25" i="10" s="1"/>
  <c r="G50" i="10"/>
  <c r="H50" i="10" s="1"/>
  <c r="I50" i="10" s="1"/>
  <c r="G62" i="10"/>
  <c r="H62" i="10" s="1"/>
  <c r="I62" i="10" s="1"/>
  <c r="G5" i="10"/>
  <c r="H5" i="10" s="1"/>
  <c r="I5" i="10" s="1"/>
  <c r="G36" i="10"/>
  <c r="H36" i="10" s="1"/>
  <c r="I36" i="10" s="1"/>
  <c r="G31" i="10"/>
  <c r="H31" i="10" s="1"/>
  <c r="I31" i="10" s="1"/>
  <c r="G41" i="10"/>
  <c r="H41" i="10" s="1"/>
  <c r="I41" i="10" s="1"/>
  <c r="G59" i="10"/>
  <c r="H59" i="10" s="1"/>
  <c r="I59" i="10" s="1"/>
  <c r="G45" i="10"/>
  <c r="H45" i="10" s="1"/>
  <c r="I45" i="10" s="1"/>
  <c r="G63" i="10"/>
  <c r="H63" i="10" s="1"/>
  <c r="I63" i="10" s="1"/>
  <c r="G28" i="10"/>
  <c r="H28" i="10" s="1"/>
  <c r="I28" i="10" s="1"/>
  <c r="G29" i="10"/>
  <c r="H29" i="10" s="1"/>
  <c r="I29" i="10" s="1"/>
  <c r="G34" i="10"/>
  <c r="H34" i="10" s="1"/>
  <c r="I34" i="10" s="1"/>
  <c r="G19" i="10"/>
  <c r="H19" i="10" s="1"/>
  <c r="I19" i="10" s="1"/>
  <c r="G49" i="10"/>
  <c r="H49" i="10" s="1"/>
  <c r="I49" i="10" s="1"/>
  <c r="G38" i="10"/>
  <c r="H38" i="10" s="1"/>
  <c r="I38" i="10" s="1"/>
  <c r="G21" i="10"/>
  <c r="H21" i="10" s="1"/>
  <c r="I21" i="10" s="1"/>
  <c r="G4" i="10"/>
  <c r="H4" i="10" s="1"/>
  <c r="I4" i="10" s="1"/>
  <c r="G53" i="10"/>
  <c r="H53" i="10" s="1"/>
  <c r="I53" i="10" s="1"/>
  <c r="G10" i="10"/>
  <c r="H10" i="10" s="1"/>
  <c r="I10" i="10" s="1"/>
  <c r="G61" i="10"/>
  <c r="H61" i="10" s="1"/>
  <c r="I61" i="10" s="1"/>
  <c r="G24" i="10"/>
  <c r="H24" i="10" s="1"/>
  <c r="I24" i="10" s="1"/>
  <c r="G58" i="10"/>
  <c r="H58" i="10" s="1"/>
  <c r="I58" i="10" s="1"/>
  <c r="G3" i="10"/>
  <c r="H3" i="10" s="1"/>
  <c r="I3" i="10" s="1"/>
  <c r="I65" i="10" l="1"/>
  <c r="I76" i="10" s="1"/>
  <c r="L76" i="10" l="1"/>
  <c r="E86" i="10" s="1"/>
  <c r="F86" i="10" s="1"/>
  <c r="G86" i="10" s="1"/>
  <c r="K76" i="10"/>
  <c r="L75" i="10"/>
  <c r="L77" i="10"/>
  <c r="K75" i="10"/>
  <c r="E85" i="10" s="1"/>
  <c r="F85" i="10" s="1"/>
  <c r="G85" i="10" s="1"/>
  <c r="K77" i="10"/>
  <c r="M76" i="10"/>
  <c r="M75" i="10"/>
  <c r="M77" i="10"/>
  <c r="E87" i="10" s="1"/>
  <c r="F87" i="10" s="1"/>
  <c r="G87" i="1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<sst xmlns="http://schemas.openxmlformats.org/spreadsheetml/2006/main" count="206" uniqueCount="101">
  <si>
    <t>Daty</t>
  </si>
  <si>
    <t>GVA</t>
  </si>
  <si>
    <t>Przyrost kwartalny</t>
  </si>
  <si>
    <t>Wahania losowe</t>
  </si>
  <si>
    <t>wskaźniki</t>
  </si>
  <si>
    <t>surowe</t>
  </si>
  <si>
    <t>oczyszczone</t>
  </si>
  <si>
    <t>kw1</t>
  </si>
  <si>
    <t>kw2</t>
  </si>
  <si>
    <t>kw3</t>
  </si>
  <si>
    <t>kw4</t>
  </si>
  <si>
    <t>beta0^</t>
  </si>
  <si>
    <t>beta1^</t>
  </si>
  <si>
    <t>y^</t>
  </si>
  <si>
    <t>gva-trend</t>
  </si>
  <si>
    <t>(gva-trend)^2</t>
  </si>
  <si>
    <t>wariancja reszt</t>
  </si>
  <si>
    <t>szybkość</t>
  </si>
  <si>
    <t>tempo</t>
  </si>
  <si>
    <t>macierz wariancji kowariancji</t>
  </si>
  <si>
    <t>błąd</t>
  </si>
  <si>
    <t>t-stat</t>
  </si>
  <si>
    <t>p-value</t>
  </si>
  <si>
    <t>ln(gva)</t>
  </si>
  <si>
    <t>ln(t)</t>
  </si>
  <si>
    <t>PODSUMOWANIE - WYJŚCIE</t>
  </si>
  <si>
    <t>Statystyki regresji</t>
  </si>
  <si>
    <t>Wielokrotność R</t>
  </si>
  <si>
    <t>R kwadrat</t>
  </si>
  <si>
    <t>Dopasowany R kwadrat</t>
  </si>
  <si>
    <t>Błąd standardowy</t>
  </si>
  <si>
    <t>Obserwacje</t>
  </si>
  <si>
    <t>ANALIZA WARIANCJI</t>
  </si>
  <si>
    <t>Regresja</t>
  </si>
  <si>
    <t>Resztkowy</t>
  </si>
  <si>
    <t>Razem</t>
  </si>
  <si>
    <t>Przecięcie</t>
  </si>
  <si>
    <t>df</t>
  </si>
  <si>
    <t>SS</t>
  </si>
  <si>
    <t>MS</t>
  </si>
  <si>
    <t>F</t>
  </si>
  <si>
    <t>Istotność F</t>
  </si>
  <si>
    <t>Współczynniki</t>
  </si>
  <si>
    <t>t Stat</t>
  </si>
  <si>
    <t>Wartość-p</t>
  </si>
  <si>
    <t>Dolne 95%</t>
  </si>
  <si>
    <t>Górne 95%</t>
  </si>
  <si>
    <t>Dolne 95,0%</t>
  </si>
  <si>
    <t>Górne 95,0%</t>
  </si>
  <si>
    <t>Zmienna X 1</t>
  </si>
  <si>
    <t>t</t>
  </si>
  <si>
    <t>t^2</t>
  </si>
  <si>
    <t>wskazniki</t>
  </si>
  <si>
    <t>SUMA</t>
  </si>
  <si>
    <t>wariancja</t>
  </si>
  <si>
    <t>wartosc</t>
  </si>
  <si>
    <t>beta0 dach</t>
  </si>
  <si>
    <t>beta1 dach</t>
  </si>
  <si>
    <t>beta2 dach</t>
  </si>
  <si>
    <t>szybkosc (śr.)</t>
  </si>
  <si>
    <t>tempo (śr.)</t>
  </si>
  <si>
    <t>t1=</t>
  </si>
  <si>
    <t>t3=</t>
  </si>
  <si>
    <t>śr. szybkość</t>
  </si>
  <si>
    <t>śr. tempo</t>
  </si>
  <si>
    <t>wariancja liniowego</t>
  </si>
  <si>
    <t>wariancja potegowego</t>
  </si>
  <si>
    <t>wariancja wykladniczego</t>
  </si>
  <si>
    <t>wariancja kwadratowego</t>
  </si>
  <si>
    <t>wariancja logistycznego</t>
  </si>
  <si>
    <t>Najlepszym modelem trendu jest model trendu kwadratowego.</t>
  </si>
  <si>
    <t>Przeciętnie rzecz biorąc, z kwartału na kwartał gva rosła o 87,06 mln euro.</t>
  </si>
  <si>
    <t>Przeciętnie rzecz biorąc, z kwartału na kwartał gva rosła o 0,21 %.</t>
  </si>
  <si>
    <t>Przeciętnie rzecz biorąc, z kwartału na kwartał gva malała o 2,496 mln euro.</t>
  </si>
  <si>
    <t>Przeciętnie rzecz biorąc, z kwartału na kwartał gva malała o 0,0046 %.</t>
  </si>
  <si>
    <t>Przeciętnie rzecz biorąc, z kwartału na kwartał gva rosła o 0,19 %.</t>
  </si>
  <si>
    <t>Przeciętnie rzecz biorąc, z kwartału na kwartał gva rosła o 100,07 mln euro.</t>
  </si>
  <si>
    <t>Średnio rzecz biorąc, z kwartału na kwartał, GVA rosła o 87,06 mln euro, co stanowi 0,21%  średniej kwartalnej GVA.</t>
  </si>
  <si>
    <t>"Najlepszy" model trendu dla danych, tutaj kwadratowy.</t>
  </si>
  <si>
    <t>Zweryfikowałem hipotezę głoszącą brak zmian strukturalnych w 2020,1 (covid).</t>
  </si>
  <si>
    <t>Na 10% poziomie istotności należy odrzucić H0, zatem wnioskujemy o występowaniu załamania strukturalnego w okresie 2020,1.</t>
  </si>
  <si>
    <t>Odrzucenie H0 wymaga redefiniowania modelu, tj. wprowadzenia zmiennych 0-1 pozwalających uwzględnić w modelu zmiany strukturalne.</t>
  </si>
  <si>
    <t>Tworzymy zmienne przełącznikowe tj. 0-1.</t>
  </si>
  <si>
    <t>Oszacowany model uwzględniający załamanie strukturalne w 2020,1</t>
  </si>
  <si>
    <t>Wstępne wyniki wskazują na istotność wszystkich parametrów występujących przy zmiennych (d1, td1, sq_td1)</t>
  </si>
  <si>
    <t>beta0</t>
  </si>
  <si>
    <t>beta0_1</t>
  </si>
  <si>
    <t>beta1</t>
  </si>
  <si>
    <t>beta1_1</t>
  </si>
  <si>
    <t>beta2</t>
  </si>
  <si>
    <t>beta2_0</t>
  </si>
  <si>
    <t>szybkość przed covidem</t>
  </si>
  <si>
    <t>szybkość po covidzie</t>
  </si>
  <si>
    <t>&lt;- średnia arytm. numerów obserwacji</t>
  </si>
  <si>
    <t>tempo przed covidem</t>
  </si>
  <si>
    <t>tempo po covidzie</t>
  </si>
  <si>
    <t>średnia GVA w latach 2010-2019</t>
  </si>
  <si>
    <t>średnia GVA w latach 2020,1 - 2025</t>
  </si>
  <si>
    <t>średnia GVA przed Covid</t>
  </si>
  <si>
    <t>średnia GVA od 2020</t>
  </si>
  <si>
    <t>Średnio rzecz biorac, z kwartalu na kwartal gva rosła o 87,13 mln euro, co stanowi 0,21% średniej kwartalnej GVA.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</si>
</sst>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.0"/>
    <numFmt numFmtId="165" formatCode="0.0"/>
    <numFmt numFmtId="166" formatCode="0.0000000000000000"/>
    <numFmt numFmtId="167" formatCode="0.00000E+00"/>
    <numFmt numFmtId="168" formatCode="#,##0.000"/>
    <numFmt numFmtId="169" formatCode="0.0000%"/>
  </numFmts>
  <fonts count="7" x14ac:knownFonts="1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2"/>
      <color theme="1"/>
      <name val="Aptos Narrow"/>
      <family val="2"/>
      <charset val="238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charset val="238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43">
    <xf numFmtId="0" fontId="0" fillId="0" borderId="0" xfId="0"/>
    <xf numFmtId="164" fontId="0" fillId="0" borderId="0" xfId="0" applyNumberFormat="1"/>
    <xf numFmtId="3" fontId="0" fillId="3" borderId="0" xfId="0" applyNumberFormat="1" applyFill="1"/>
    <xf numFmtId="3" fontId="0" fillId="0" borderId="0" xfId="0" applyNumberFormat="1"/>
    <xf numFmtId="0" fontId="0" fillId="4" borderId="0" xfId="0" applyFill="1"/>
    <xf numFmtId="0" fontId="0" fillId="2" borderId="0" xfId="0" applyFill="1"/>
    <xf numFmtId="164" fontId="0" fillId="5" borderId="0" xfId="0" applyNumberFormat="1" applyFill="1"/>
    <xf numFmtId="3" fontId="1" fillId="0" borderId="0" xfId="0" applyNumberFormat="1" applyFont="1"/>
    <xf numFmtId="10" fontId="0" fillId="0" borderId="0" xfId="0" applyNumberFormat="1"/>
    <xf numFmtId="4" fontId="0" fillId="0" borderId="0" xfId="0" applyNumberFormat="1"/>
    <xf numFmtId="0" fontId="4" fillId="0" borderId="0" xfId="0" applyFont="1"/>
    <xf numFmtId="10" fontId="4" fillId="0" borderId="0" xfId="1" applyNumberFormat="1" applyFont="1"/>
    <xf numFmtId="3" fontId="5" fillId="0" borderId="0" xfId="0" applyNumberFormat="1" applyFont="1"/>
    <xf numFmtId="1" fontId="5" fillId="0" borderId="0" xfId="0" applyNumberFormat="1" applyFont="1"/>
    <xf numFmtId="167" fontId="5" fillId="0" borderId="0" xfId="0" applyNumberFormat="1" applyFont="1"/>
    <xf numFmtId="0" fontId="5" fillId="0" borderId="0" xfId="0" applyFont="1"/>
    <xf numFmtId="0" fontId="0" fillId="0" borderId="1" xfId="0" applyBorder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Continuous"/>
    </xf>
    <xf numFmtId="168" fontId="0" fillId="0" borderId="0" xfId="0" applyNumberFormat="1"/>
    <xf numFmtId="169" fontId="0" fillId="0" borderId="0" xfId="0" applyNumberFormat="1"/>
    <xf numFmtId="0" fontId="1" fillId="0" borderId="0" xfId="0" applyFont="1"/>
    <xf numFmtId="0" fontId="1" fillId="0" borderId="1" xfId="0" applyFont="1" applyBorder="1"/>
    <xf numFmtId="0" fontId="0" fillId="3" borderId="0" xfId="0" applyFill="1"/>
    <xf numFmtId="2" fontId="0" fillId="0" borderId="0" xfId="0" applyNumberFormat="1"/>
    <xf numFmtId="0" fontId="0" fillId="6" borderId="0" xfId="0" applyFill="1"/>
    <xf numFmtId="1" fontId="0" fillId="7" borderId="0" xfId="0" applyNumberFormat="1" applyFill="1"/>
    <xf numFmtId="1" fontId="0" fillId="0" borderId="0" xfId="0" applyNumberFormat="1"/>
    <xf numFmtId="0" fontId="6" fillId="0" borderId="0" xfId="0" applyFont="1"/>
    <xf numFmtId="165" fontId="6" fillId="0" borderId="0" xfId="0" applyNumberFormat="1" applyFont="1"/>
    <xf numFmtId="11" fontId="0" fillId="0" borderId="0" xfId="0" applyNumberFormat="1"/>
    <xf numFmtId="166" fontId="0" fillId="0" borderId="0" xfId="0" applyNumberFormat="1"/>
    <xf numFmtId="10" fontId="0" fillId="0" borderId="0" xfId="1" applyNumberFormat="1" applyFont="1"/>
    <xf numFmtId="164" fontId="5" fillId="5" borderId="0" xfId="0" applyNumberFormat="1" applyFont="1" applyFill="1"/>
    <xf numFmtId="0" fontId="5" fillId="3" borderId="0" xfId="0" applyFont="1" applyFill="1"/>
    <xf numFmtId="2" fontId="5" fillId="0" borderId="0" xfId="0" applyNumberFormat="1" applyFont="1"/>
    <xf numFmtId="0" fontId="5" fillId="8" borderId="0" xfId="0" applyFont="1" applyFill="1"/>
    <xf numFmtId="164" fontId="5" fillId="0" borderId="0" xfId="0" applyNumberFormat="1" applyFont="1"/>
    <xf numFmtId="164" fontId="5" fillId="8" borderId="0" xfId="0" applyNumberFormat="1" applyFont="1" applyFill="1"/>
    <xf numFmtId="10" fontId="5" fillId="0" borderId="0" xfId="1" applyNumberFormat="1" applyFont="1"/>
    <xf numFmtId="165" fontId="0" fillId="0" borderId="0" xfId="0" applyNumberFormat="1"/>
    <xf numFmtId="3" fontId="6" fillId="0" borderId="0" xfId="0" applyNumberFormat="1" applyFont="1"/>
    <xf numFmtId="2" fontId="6" fillId="0" borderId="0" xfId="0" applyNumberFormat="1" applyFont="1"/>
  </cellXfs>
  <cellStyles count="2">
    <cellStyle name="Normalny" xfId="0" builtinId="0"/>
    <cellStyle name="Procentowy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597003499562554"/>
          <c:y val="6.0185185185185182E-2"/>
          <c:w val="0.8334744094488189"/>
          <c:h val="0.79224482356372117"/>
        </c:manualLayout>
      </c:layout>
      <c:lineChart>
        <c:grouping val="standard"/>
        <c:varyColors val="0"/>
        <c:ser>
          <c:idx val="0"/>
          <c:order val="0"/>
          <c:tx>
            <c:strRef>
              <c:f>t.liniowy!$B$1</c:f>
              <c:strCache>
                <c:ptCount val="1"/>
                <c:pt idx="0">
                  <c:v>GVA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t.liniowy!$A$2:$A$63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t.liniowy!$B$2:$B$63</c:f>
              <c:numCache>
                <c:formatCode>#\ ##0.0</c:formatCode>
                <c:ptCount val="62"/>
                <c:pt idx="0">
                  <c:v>48489.7</c:v>
                </c:pt>
                <c:pt idx="1">
                  <c:v>49856.6</c:v>
                </c:pt>
                <c:pt idx="2">
                  <c:v>48755.4</c:v>
                </c:pt>
                <c:pt idx="3">
                  <c:v>50094</c:v>
                </c:pt>
                <c:pt idx="4">
                  <c:v>43083.6</c:v>
                </c:pt>
                <c:pt idx="5">
                  <c:v>45650.8</c:v>
                </c:pt>
                <c:pt idx="6">
                  <c:v>45345</c:v>
                </c:pt>
                <c:pt idx="7">
                  <c:v>44267.9</c:v>
                </c:pt>
                <c:pt idx="8">
                  <c:v>39075.199999999997</c:v>
                </c:pt>
                <c:pt idx="9">
                  <c:v>41223.800000000003</c:v>
                </c:pt>
                <c:pt idx="10">
                  <c:v>41766.800000000003</c:v>
                </c:pt>
                <c:pt idx="11">
                  <c:v>41700.400000000001</c:v>
                </c:pt>
                <c:pt idx="12">
                  <c:v>36810.699999999997</c:v>
                </c:pt>
                <c:pt idx="13">
                  <c:v>39772.1</c:v>
                </c:pt>
                <c:pt idx="14">
                  <c:v>40769.199999999997</c:v>
                </c:pt>
                <c:pt idx="15">
                  <c:v>40443.199999999997</c:v>
                </c:pt>
                <c:pt idx="16">
                  <c:v>36236.6</c:v>
                </c:pt>
                <c:pt idx="17">
                  <c:v>38745.9</c:v>
                </c:pt>
                <c:pt idx="18">
                  <c:v>40325.300000000003</c:v>
                </c:pt>
                <c:pt idx="19">
                  <c:v>40047.5</c:v>
                </c:pt>
                <c:pt idx="20">
                  <c:v>36268.1</c:v>
                </c:pt>
                <c:pt idx="21">
                  <c:v>38729.1</c:v>
                </c:pt>
                <c:pt idx="22">
                  <c:v>39614</c:v>
                </c:pt>
                <c:pt idx="23">
                  <c:v>40169.5</c:v>
                </c:pt>
                <c:pt idx="24">
                  <c:v>35233.800000000003</c:v>
                </c:pt>
                <c:pt idx="25">
                  <c:v>37936</c:v>
                </c:pt>
                <c:pt idx="26">
                  <c:v>39732</c:v>
                </c:pt>
                <c:pt idx="27">
                  <c:v>39113.800000000003</c:v>
                </c:pt>
                <c:pt idx="28">
                  <c:v>35997.300000000003</c:v>
                </c:pt>
                <c:pt idx="29">
                  <c:v>38526.1</c:v>
                </c:pt>
                <c:pt idx="30">
                  <c:v>41277.4</c:v>
                </c:pt>
                <c:pt idx="31">
                  <c:v>38981.5</c:v>
                </c:pt>
                <c:pt idx="32">
                  <c:v>36049</c:v>
                </c:pt>
                <c:pt idx="33">
                  <c:v>39184.9</c:v>
                </c:pt>
                <c:pt idx="34">
                  <c:v>41724.6</c:v>
                </c:pt>
                <c:pt idx="35">
                  <c:v>39676.400000000001</c:v>
                </c:pt>
                <c:pt idx="36">
                  <c:v>36562.699999999997</c:v>
                </c:pt>
                <c:pt idx="37">
                  <c:v>40409.9</c:v>
                </c:pt>
                <c:pt idx="38">
                  <c:v>43406.8</c:v>
                </c:pt>
                <c:pt idx="39">
                  <c:v>40353.199999999997</c:v>
                </c:pt>
                <c:pt idx="40">
                  <c:v>36283.300000000003</c:v>
                </c:pt>
                <c:pt idx="41">
                  <c:v>34354.5</c:v>
                </c:pt>
                <c:pt idx="42">
                  <c:v>39026.300000000003</c:v>
                </c:pt>
                <c:pt idx="43">
                  <c:v>37572.199999999997</c:v>
                </c:pt>
                <c:pt idx="44">
                  <c:v>35500.300000000003</c:v>
                </c:pt>
                <c:pt idx="45">
                  <c:v>39015.699999999997</c:v>
                </c:pt>
                <c:pt idx="46">
                  <c:v>44025.3</c:v>
                </c:pt>
                <c:pt idx="47">
                  <c:v>42474.1</c:v>
                </c:pt>
                <c:pt idx="48">
                  <c:v>40446.6</c:v>
                </c:pt>
                <c:pt idx="49">
                  <c:v>44851.1</c:v>
                </c:pt>
                <c:pt idx="50">
                  <c:v>50374.1</c:v>
                </c:pt>
                <c:pt idx="51">
                  <c:v>47736.9</c:v>
                </c:pt>
                <c:pt idx="52">
                  <c:v>44156.9</c:v>
                </c:pt>
                <c:pt idx="53">
                  <c:v>48505.9</c:v>
                </c:pt>
                <c:pt idx="54">
                  <c:v>53448.4</c:v>
                </c:pt>
                <c:pt idx="55">
                  <c:v>50416.9</c:v>
                </c:pt>
                <c:pt idx="56">
                  <c:v>45905.4</c:v>
                </c:pt>
                <c:pt idx="57">
                  <c:v>51005</c:v>
                </c:pt>
                <c:pt idx="58">
                  <c:v>56074</c:v>
                </c:pt>
                <c:pt idx="59">
                  <c:v>52936</c:v>
                </c:pt>
                <c:pt idx="60">
                  <c:v>47907.8</c:v>
                </c:pt>
                <c:pt idx="61">
                  <c:v>53716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9A-4F35-9488-068592A01A80}"/>
            </c:ext>
          </c:extLst>
        </c:ser>
        <c:ser>
          <c:idx val="4"/>
          <c:order val="4"/>
          <c:tx>
            <c:strRef>
              <c:f>t.liniowy!$F$1</c:f>
              <c:strCache>
                <c:ptCount val="1"/>
                <c:pt idx="0">
                  <c:v>y^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t.liniowy!$A$2:$A$63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t.liniowy!$F$2:$F$63</c:f>
              <c:numCache>
                <c:formatCode>#\ ##0.0</c:formatCode>
                <c:ptCount val="62"/>
                <c:pt idx="0">
                  <c:v>39717.98371735782</c:v>
                </c:pt>
                <c:pt idx="1">
                  <c:v>39805.040041801927</c:v>
                </c:pt>
                <c:pt idx="2">
                  <c:v>39892.096366246042</c:v>
                </c:pt>
                <c:pt idx="3">
                  <c:v>39979.152690690156</c:v>
                </c:pt>
                <c:pt idx="4">
                  <c:v>40066.209015134264</c:v>
                </c:pt>
                <c:pt idx="5">
                  <c:v>40153.265339578371</c:v>
                </c:pt>
                <c:pt idx="6">
                  <c:v>40240.321664022485</c:v>
                </c:pt>
                <c:pt idx="7">
                  <c:v>40327.3779884666</c:v>
                </c:pt>
                <c:pt idx="8">
                  <c:v>40414.434312910707</c:v>
                </c:pt>
                <c:pt idx="9">
                  <c:v>40501.490637354815</c:v>
                </c:pt>
                <c:pt idx="10">
                  <c:v>40588.546961798929</c:v>
                </c:pt>
                <c:pt idx="11">
                  <c:v>40675.603286243044</c:v>
                </c:pt>
                <c:pt idx="12">
                  <c:v>40762.659610687151</c:v>
                </c:pt>
                <c:pt idx="13">
                  <c:v>40849.715935131258</c:v>
                </c:pt>
                <c:pt idx="14">
                  <c:v>40936.772259575373</c:v>
                </c:pt>
                <c:pt idx="15">
                  <c:v>41023.828584019488</c:v>
                </c:pt>
                <c:pt idx="16">
                  <c:v>41110.884908463595</c:v>
                </c:pt>
                <c:pt idx="17">
                  <c:v>41197.941232907702</c:v>
                </c:pt>
                <c:pt idx="18">
                  <c:v>41284.997557351817</c:v>
                </c:pt>
                <c:pt idx="19">
                  <c:v>41372.053881795931</c:v>
                </c:pt>
                <c:pt idx="20">
                  <c:v>41459.110206240039</c:v>
                </c:pt>
                <c:pt idx="21">
                  <c:v>41546.166530684146</c:v>
                </c:pt>
                <c:pt idx="22">
                  <c:v>41633.222855128261</c:v>
                </c:pt>
                <c:pt idx="23">
                  <c:v>41720.279179572375</c:v>
                </c:pt>
                <c:pt idx="24">
                  <c:v>41807.335504016482</c:v>
                </c:pt>
                <c:pt idx="25">
                  <c:v>41894.39182846059</c:v>
                </c:pt>
                <c:pt idx="26">
                  <c:v>41981.448152904704</c:v>
                </c:pt>
                <c:pt idx="27">
                  <c:v>42068.504477348819</c:v>
                </c:pt>
                <c:pt idx="28">
                  <c:v>42155.560801792926</c:v>
                </c:pt>
                <c:pt idx="29">
                  <c:v>42242.617126237034</c:v>
                </c:pt>
                <c:pt idx="30">
                  <c:v>42329.673450681148</c:v>
                </c:pt>
                <c:pt idx="31">
                  <c:v>42416.729775125263</c:v>
                </c:pt>
                <c:pt idx="32">
                  <c:v>42503.78609956937</c:v>
                </c:pt>
                <c:pt idx="33">
                  <c:v>42590.842424013477</c:v>
                </c:pt>
                <c:pt idx="34">
                  <c:v>42677.898748457592</c:v>
                </c:pt>
                <c:pt idx="35">
                  <c:v>42764.955072901706</c:v>
                </c:pt>
                <c:pt idx="36">
                  <c:v>42852.011397345814</c:v>
                </c:pt>
                <c:pt idx="37">
                  <c:v>42939.067721789921</c:v>
                </c:pt>
                <c:pt idx="38">
                  <c:v>43026.124046234036</c:v>
                </c:pt>
                <c:pt idx="39">
                  <c:v>43113.18037067815</c:v>
                </c:pt>
                <c:pt idx="40">
                  <c:v>43200.236695122258</c:v>
                </c:pt>
                <c:pt idx="41">
                  <c:v>43287.293019566365</c:v>
                </c:pt>
                <c:pt idx="42">
                  <c:v>43374.349344010479</c:v>
                </c:pt>
                <c:pt idx="43">
                  <c:v>43461.405668454594</c:v>
                </c:pt>
                <c:pt idx="44">
                  <c:v>43548.461992898701</c:v>
                </c:pt>
                <c:pt idx="45">
                  <c:v>43635.518317342809</c:v>
                </c:pt>
                <c:pt idx="46">
                  <c:v>43722.574641786923</c:v>
                </c:pt>
                <c:pt idx="47">
                  <c:v>43809.630966231038</c:v>
                </c:pt>
                <c:pt idx="48">
                  <c:v>43896.687290675145</c:v>
                </c:pt>
                <c:pt idx="49">
                  <c:v>43983.743615119252</c:v>
                </c:pt>
                <c:pt idx="50">
                  <c:v>44070.799939563367</c:v>
                </c:pt>
                <c:pt idx="51">
                  <c:v>44157.856264007482</c:v>
                </c:pt>
                <c:pt idx="52">
                  <c:v>44244.912588451589</c:v>
                </c:pt>
                <c:pt idx="53">
                  <c:v>44331.968912895696</c:v>
                </c:pt>
                <c:pt idx="54">
                  <c:v>44419.025237339811</c:v>
                </c:pt>
                <c:pt idx="55">
                  <c:v>44506.081561783925</c:v>
                </c:pt>
                <c:pt idx="56">
                  <c:v>44593.137886228033</c:v>
                </c:pt>
                <c:pt idx="57">
                  <c:v>44680.19421067214</c:v>
                </c:pt>
                <c:pt idx="58">
                  <c:v>44767.250535116254</c:v>
                </c:pt>
                <c:pt idx="59">
                  <c:v>44854.306859560369</c:v>
                </c:pt>
                <c:pt idx="60">
                  <c:v>44941.363184004476</c:v>
                </c:pt>
                <c:pt idx="61">
                  <c:v>45028.419508448584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69A-4F35-9488-068592A01A80}"/>
            </c:ext>
          </c:extLst>
        </c:ser>
        <c:ser>
          <c:idx val="8"/>
          <c:order val="8"/>
          <c:tx>
            <c:strRef>
              <c:f>t.liniowy!$J$1</c:f>
              <c:strCache>
                <c:ptCount val="1"/>
                <c:pt idx="0">
                  <c:v>Przyrost kwartalny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t.liniowy!$A$2:$A$63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t.liniowy!$J$2:$J$63</c:f>
              <c:numCache>
                <c:formatCode>General</c:formatCode>
                <c:ptCount val="62"/>
                <c:pt idx="1">
                  <c:v>1366.9000000000015</c:v>
                </c:pt>
                <c:pt idx="2">
                  <c:v>-1101.1999999999971</c:v>
                </c:pt>
                <c:pt idx="3">
                  <c:v>1338.5999999999985</c:v>
                </c:pt>
                <c:pt idx="4">
                  <c:v>-7010.4000000000015</c:v>
                </c:pt>
                <c:pt idx="5">
                  <c:v>2567.2000000000044</c:v>
                </c:pt>
                <c:pt idx="6">
                  <c:v>-305.80000000000291</c:v>
                </c:pt>
                <c:pt idx="7">
                  <c:v>-1077.0999999999985</c:v>
                </c:pt>
                <c:pt idx="8">
                  <c:v>-5192.7000000000044</c:v>
                </c:pt>
                <c:pt idx="9">
                  <c:v>2148.6000000000058</c:v>
                </c:pt>
                <c:pt idx="10">
                  <c:v>543</c:v>
                </c:pt>
                <c:pt idx="11">
                  <c:v>-66.400000000001455</c:v>
                </c:pt>
                <c:pt idx="12">
                  <c:v>-4889.7000000000044</c:v>
                </c:pt>
                <c:pt idx="13">
                  <c:v>2961.4000000000015</c:v>
                </c:pt>
                <c:pt idx="14">
                  <c:v>997.09999999999854</c:v>
                </c:pt>
                <c:pt idx="15">
                  <c:v>-326</c:v>
                </c:pt>
                <c:pt idx="16">
                  <c:v>-4206.5999999999985</c:v>
                </c:pt>
                <c:pt idx="17">
                  <c:v>2509.3000000000029</c:v>
                </c:pt>
                <c:pt idx="18">
                  <c:v>1579.4000000000015</c:v>
                </c:pt>
                <c:pt idx="19">
                  <c:v>-277.80000000000291</c:v>
                </c:pt>
                <c:pt idx="20">
                  <c:v>-3779.4000000000015</c:v>
                </c:pt>
                <c:pt idx="21">
                  <c:v>2461</c:v>
                </c:pt>
                <c:pt idx="22">
                  <c:v>884.90000000000146</c:v>
                </c:pt>
                <c:pt idx="23">
                  <c:v>555.5</c:v>
                </c:pt>
                <c:pt idx="24">
                  <c:v>-4935.6999999999971</c:v>
                </c:pt>
                <c:pt idx="25">
                  <c:v>2702.1999999999971</c:v>
                </c:pt>
                <c:pt idx="26">
                  <c:v>1796</c:v>
                </c:pt>
                <c:pt idx="27">
                  <c:v>-618.19999999999709</c:v>
                </c:pt>
                <c:pt idx="28">
                  <c:v>-3116.5</c:v>
                </c:pt>
                <c:pt idx="29">
                  <c:v>2528.7999999999956</c:v>
                </c:pt>
                <c:pt idx="30">
                  <c:v>2751.3000000000029</c:v>
                </c:pt>
                <c:pt idx="31">
                  <c:v>-2295.9000000000015</c:v>
                </c:pt>
                <c:pt idx="32">
                  <c:v>-2932.5</c:v>
                </c:pt>
                <c:pt idx="33">
                  <c:v>3135.9000000000015</c:v>
                </c:pt>
                <c:pt idx="34">
                  <c:v>2539.6999999999971</c:v>
                </c:pt>
                <c:pt idx="35">
                  <c:v>-2048.1999999999971</c:v>
                </c:pt>
                <c:pt idx="36">
                  <c:v>-3113.7000000000044</c:v>
                </c:pt>
                <c:pt idx="37">
                  <c:v>3847.2000000000044</c:v>
                </c:pt>
                <c:pt idx="38">
                  <c:v>2996.9000000000015</c:v>
                </c:pt>
                <c:pt idx="39">
                  <c:v>-3053.6000000000058</c:v>
                </c:pt>
                <c:pt idx="40">
                  <c:v>-4069.8999999999942</c:v>
                </c:pt>
                <c:pt idx="41">
                  <c:v>-1928.8000000000029</c:v>
                </c:pt>
                <c:pt idx="42">
                  <c:v>4671.8000000000029</c:v>
                </c:pt>
                <c:pt idx="43">
                  <c:v>-1454.1000000000058</c:v>
                </c:pt>
                <c:pt idx="44">
                  <c:v>-2071.8999999999942</c:v>
                </c:pt>
                <c:pt idx="45">
                  <c:v>3515.3999999999942</c:v>
                </c:pt>
                <c:pt idx="46">
                  <c:v>5009.6000000000058</c:v>
                </c:pt>
                <c:pt idx="47">
                  <c:v>-1551.2000000000044</c:v>
                </c:pt>
                <c:pt idx="48">
                  <c:v>-2027.5</c:v>
                </c:pt>
                <c:pt idx="49">
                  <c:v>4404.5</c:v>
                </c:pt>
                <c:pt idx="50">
                  <c:v>5523</c:v>
                </c:pt>
                <c:pt idx="51">
                  <c:v>-2637.1999999999971</c:v>
                </c:pt>
                <c:pt idx="52">
                  <c:v>-3580</c:v>
                </c:pt>
                <c:pt idx="53">
                  <c:v>4349</c:v>
                </c:pt>
                <c:pt idx="54">
                  <c:v>4942.5</c:v>
                </c:pt>
                <c:pt idx="55">
                  <c:v>-3031.5</c:v>
                </c:pt>
                <c:pt idx="56">
                  <c:v>-4511.5</c:v>
                </c:pt>
                <c:pt idx="57">
                  <c:v>5099.5999999999985</c:v>
                </c:pt>
                <c:pt idx="58">
                  <c:v>5069</c:v>
                </c:pt>
                <c:pt idx="59">
                  <c:v>-3138</c:v>
                </c:pt>
                <c:pt idx="60">
                  <c:v>-5028.1999999999971</c:v>
                </c:pt>
                <c:pt idx="61">
                  <c:v>5808.1999999999971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69A-4F35-9488-068592A01A80}"/>
            </c:ext>
          </c:extLst>
        </c:ser>
        <c:ser>
          <c:idx val="9"/>
          <c:order val="9"/>
          <c:tx>
            <c:strRef>
              <c:f>t.liniowy!$K$1</c:f>
              <c:strCache>
                <c:ptCount val="1"/>
                <c:pt idx="0">
                  <c:v>Wahania losowe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t.liniowy!$A$2:$A$63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t.liniowy!$K$2:$K$63</c:f>
              <c:numCache>
                <c:formatCode>0.00</c:formatCode>
                <c:ptCount val="62"/>
                <c:pt idx="1">
                  <c:v>-1539.2152083333322</c:v>
                </c:pt>
                <c:pt idx="2">
                  <c:v>-3408.6152083333309</c:v>
                </c:pt>
                <c:pt idx="3">
                  <c:v>2711.8331249999992</c:v>
                </c:pt>
                <c:pt idx="4">
                  <c:v>-3170.1027083333347</c:v>
                </c:pt>
                <c:pt idx="5">
                  <c:v>-338.91520833332925</c:v>
                </c:pt>
                <c:pt idx="6">
                  <c:v>-2613.2152083333367</c:v>
                </c:pt>
                <c:pt idx="7">
                  <c:v>296.13312500000234</c:v>
                </c:pt>
                <c:pt idx="8">
                  <c:v>-1352.4027083333376</c:v>
                </c:pt>
                <c:pt idx="9">
                  <c:v>-757.51520833332779</c:v>
                </c:pt>
                <c:pt idx="10">
                  <c:v>-1764.4152083333338</c:v>
                </c:pt>
                <c:pt idx="11">
                  <c:v>1306.8331249999994</c:v>
                </c:pt>
                <c:pt idx="12">
                  <c:v>-1049.4027083333376</c:v>
                </c:pt>
                <c:pt idx="13">
                  <c:v>55.284791666667843</c:v>
                </c:pt>
                <c:pt idx="14">
                  <c:v>-1310.3152083333352</c:v>
                </c:pt>
                <c:pt idx="15">
                  <c:v>1047.2331250000009</c:v>
                </c:pt>
                <c:pt idx="16">
                  <c:v>-366.30270833333179</c:v>
                </c:pt>
                <c:pt idx="17">
                  <c:v>-396.8152083333307</c:v>
                </c:pt>
                <c:pt idx="18">
                  <c:v>-728.01520833333234</c:v>
                </c:pt>
                <c:pt idx="19">
                  <c:v>1095.433124999998</c:v>
                </c:pt>
                <c:pt idx="20">
                  <c:v>60.897291666665296</c:v>
                </c:pt>
                <c:pt idx="21">
                  <c:v>-445.11520833333361</c:v>
                </c:pt>
                <c:pt idx="22">
                  <c:v>-1422.5152083333323</c:v>
                </c:pt>
                <c:pt idx="23">
                  <c:v>1928.7331250000009</c:v>
                </c:pt>
                <c:pt idx="24">
                  <c:v>-1095.4027083333303</c:v>
                </c:pt>
                <c:pt idx="25">
                  <c:v>-203.91520833333652</c:v>
                </c:pt>
                <c:pt idx="26">
                  <c:v>-511.41520833333379</c:v>
                </c:pt>
                <c:pt idx="27">
                  <c:v>755.03312500000379</c:v>
                </c:pt>
                <c:pt idx="28">
                  <c:v>723.79729166666675</c:v>
                </c:pt>
                <c:pt idx="29">
                  <c:v>-377.31520833333798</c:v>
                </c:pt>
                <c:pt idx="30">
                  <c:v>443.88479166666912</c:v>
                </c:pt>
                <c:pt idx="31">
                  <c:v>-922.66687500000057</c:v>
                </c:pt>
                <c:pt idx="32">
                  <c:v>907.79729166666675</c:v>
                </c:pt>
                <c:pt idx="33">
                  <c:v>229.78479166666784</c:v>
                </c:pt>
                <c:pt idx="34">
                  <c:v>232.2847916666633</c:v>
                </c:pt>
                <c:pt idx="35">
                  <c:v>-674.96687499999621</c:v>
                </c:pt>
                <c:pt idx="36">
                  <c:v>726.59729166666239</c:v>
                </c:pt>
                <c:pt idx="37">
                  <c:v>941.08479166667075</c:v>
                </c:pt>
                <c:pt idx="38">
                  <c:v>689.48479166666766</c:v>
                </c:pt>
                <c:pt idx="39">
                  <c:v>-1680.3668750000049</c:v>
                </c:pt>
                <c:pt idx="40">
                  <c:v>-229.60270833332743</c:v>
                </c:pt>
                <c:pt idx="41">
                  <c:v>-4834.9152083333365</c:v>
                </c:pt>
                <c:pt idx="42">
                  <c:v>2364.3847916666691</c:v>
                </c:pt>
                <c:pt idx="43">
                  <c:v>-80.866875000004939</c:v>
                </c:pt>
                <c:pt idx="44">
                  <c:v>1768.3972916666726</c:v>
                </c:pt>
                <c:pt idx="45">
                  <c:v>609.28479166666057</c:v>
                </c:pt>
                <c:pt idx="46">
                  <c:v>2702.184791666672</c:v>
                </c:pt>
                <c:pt idx="47">
                  <c:v>-177.96687500000348</c:v>
                </c:pt>
                <c:pt idx="48">
                  <c:v>1812.7972916666668</c:v>
                </c:pt>
                <c:pt idx="49">
                  <c:v>1498.3847916666664</c:v>
                </c:pt>
                <c:pt idx="50">
                  <c:v>3215.5847916666662</c:v>
                </c:pt>
                <c:pt idx="51">
                  <c:v>-1263.9668749999962</c:v>
                </c:pt>
                <c:pt idx="52">
                  <c:v>260.29729166666675</c:v>
                </c:pt>
                <c:pt idx="53">
                  <c:v>1442.8847916666664</c:v>
                </c:pt>
                <c:pt idx="54">
                  <c:v>2635.0847916666662</c:v>
                </c:pt>
                <c:pt idx="55">
                  <c:v>-1658.2668749999991</c:v>
                </c:pt>
                <c:pt idx="56">
                  <c:v>-671.20270833333325</c:v>
                </c:pt>
                <c:pt idx="57">
                  <c:v>2193.4847916666649</c:v>
                </c:pt>
                <c:pt idx="58">
                  <c:v>2761.5847916666662</c:v>
                </c:pt>
                <c:pt idx="59">
                  <c:v>-1764.7668749999991</c:v>
                </c:pt>
                <c:pt idx="60">
                  <c:v>-1187.9027083333303</c:v>
                </c:pt>
                <c:pt idx="61">
                  <c:v>2902.0847916666635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69A-4F35-9488-068592A01A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8987295"/>
        <c:axId val="818985855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t.liniowy!$C$1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t.liniowy!$A$2:$A$63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t.liniowy!$C$2:$C$63</c15:sqref>
                        </c15:formulaRef>
                      </c:ext>
                    </c:extLst>
                    <c:numCache>
                      <c:formatCode>#\ ##0.0</c:formatCode>
                      <c:ptCount val="6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669A-4F35-9488-068592A01A80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t.liniowy!$D$1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t.liniowy!$A$2:$A$63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t.liniowy!$D$2:$D$63</c15:sqref>
                        </c15:formulaRef>
                      </c:ext>
                    </c:extLst>
                    <c:numCache>
                      <c:formatCode>#,##0</c:formatCode>
                      <c:ptCount val="62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</c:v>
                      </c:pt>
                      <c:pt idx="38">
                        <c:v>1</c:v>
                      </c:pt>
                      <c:pt idx="39">
                        <c:v>1</c:v>
                      </c:pt>
                      <c:pt idx="40">
                        <c:v>1</c:v>
                      </c:pt>
                      <c:pt idx="41">
                        <c:v>1</c:v>
                      </c:pt>
                      <c:pt idx="42">
                        <c:v>1</c:v>
                      </c:pt>
                      <c:pt idx="43">
                        <c:v>1</c:v>
                      </c:pt>
                      <c:pt idx="44">
                        <c:v>1</c:v>
                      </c:pt>
                      <c:pt idx="45">
                        <c:v>1</c:v>
                      </c:pt>
                      <c:pt idx="46">
                        <c:v>1</c:v>
                      </c:pt>
                      <c:pt idx="47">
                        <c:v>1</c:v>
                      </c:pt>
                      <c:pt idx="48">
                        <c:v>1</c:v>
                      </c:pt>
                      <c:pt idx="49">
                        <c:v>1</c:v>
                      </c:pt>
                      <c:pt idx="50">
                        <c:v>1</c:v>
                      </c:pt>
                      <c:pt idx="51">
                        <c:v>1</c:v>
                      </c:pt>
                      <c:pt idx="52">
                        <c:v>1</c:v>
                      </c:pt>
                      <c:pt idx="53">
                        <c:v>1</c:v>
                      </c:pt>
                      <c:pt idx="54">
                        <c:v>1</c:v>
                      </c:pt>
                      <c:pt idx="55">
                        <c:v>1</c:v>
                      </c:pt>
                      <c:pt idx="56">
                        <c:v>1</c:v>
                      </c:pt>
                      <c:pt idx="57">
                        <c:v>1</c:v>
                      </c:pt>
                      <c:pt idx="58">
                        <c:v>1</c:v>
                      </c:pt>
                      <c:pt idx="59">
                        <c:v>1</c:v>
                      </c:pt>
                      <c:pt idx="60">
                        <c:v>1</c:v>
                      </c:pt>
                      <c:pt idx="6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69A-4F35-9488-068592A01A80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t.liniowy!$E$1</c15:sqref>
                        </c15:formulaRef>
                      </c:ext>
                    </c:extLst>
                    <c:strCache>
                      <c:ptCount val="1"/>
                      <c:pt idx="0">
                        <c:v>t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t.liniowy!$A$2:$A$63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t.liniowy!$E$2:$E$63</c15:sqref>
                        </c15:formulaRef>
                      </c:ext>
                    </c:extLst>
                    <c:numCache>
                      <c:formatCode>#,##0</c:formatCode>
                      <c:ptCount val="62"/>
                      <c:pt idx="0">
                        <c:v>2</c:v>
                      </c:pt>
                      <c:pt idx="1">
                        <c:v>3</c:v>
                      </c:pt>
                      <c:pt idx="2">
                        <c:v>4</c:v>
                      </c:pt>
                      <c:pt idx="3">
                        <c:v>5</c:v>
                      </c:pt>
                      <c:pt idx="4">
                        <c:v>6</c:v>
                      </c:pt>
                      <c:pt idx="5">
                        <c:v>7</c:v>
                      </c:pt>
                      <c:pt idx="6">
                        <c:v>8</c:v>
                      </c:pt>
                      <c:pt idx="7">
                        <c:v>9</c:v>
                      </c:pt>
                      <c:pt idx="8">
                        <c:v>10</c:v>
                      </c:pt>
                      <c:pt idx="9">
                        <c:v>11</c:v>
                      </c:pt>
                      <c:pt idx="10">
                        <c:v>12</c:v>
                      </c:pt>
                      <c:pt idx="11">
                        <c:v>13</c:v>
                      </c:pt>
                      <c:pt idx="12">
                        <c:v>14</c:v>
                      </c:pt>
                      <c:pt idx="13">
                        <c:v>15</c:v>
                      </c:pt>
                      <c:pt idx="14">
                        <c:v>16</c:v>
                      </c:pt>
                      <c:pt idx="15">
                        <c:v>17</c:v>
                      </c:pt>
                      <c:pt idx="16">
                        <c:v>18</c:v>
                      </c:pt>
                      <c:pt idx="17">
                        <c:v>19</c:v>
                      </c:pt>
                      <c:pt idx="18">
                        <c:v>20</c:v>
                      </c:pt>
                      <c:pt idx="19">
                        <c:v>21</c:v>
                      </c:pt>
                      <c:pt idx="20">
                        <c:v>22</c:v>
                      </c:pt>
                      <c:pt idx="21">
                        <c:v>23</c:v>
                      </c:pt>
                      <c:pt idx="22">
                        <c:v>24</c:v>
                      </c:pt>
                      <c:pt idx="23">
                        <c:v>25</c:v>
                      </c:pt>
                      <c:pt idx="24">
                        <c:v>26</c:v>
                      </c:pt>
                      <c:pt idx="25">
                        <c:v>27</c:v>
                      </c:pt>
                      <c:pt idx="26">
                        <c:v>28</c:v>
                      </c:pt>
                      <c:pt idx="27">
                        <c:v>29</c:v>
                      </c:pt>
                      <c:pt idx="28">
                        <c:v>30</c:v>
                      </c:pt>
                      <c:pt idx="29">
                        <c:v>31</c:v>
                      </c:pt>
                      <c:pt idx="30">
                        <c:v>32</c:v>
                      </c:pt>
                      <c:pt idx="31">
                        <c:v>33</c:v>
                      </c:pt>
                      <c:pt idx="32">
                        <c:v>34</c:v>
                      </c:pt>
                      <c:pt idx="33">
                        <c:v>35</c:v>
                      </c:pt>
                      <c:pt idx="34">
                        <c:v>36</c:v>
                      </c:pt>
                      <c:pt idx="35">
                        <c:v>37</c:v>
                      </c:pt>
                      <c:pt idx="36">
                        <c:v>38</c:v>
                      </c:pt>
                      <c:pt idx="37">
                        <c:v>39</c:v>
                      </c:pt>
                      <c:pt idx="38">
                        <c:v>40</c:v>
                      </c:pt>
                      <c:pt idx="39">
                        <c:v>41</c:v>
                      </c:pt>
                      <c:pt idx="40">
                        <c:v>42</c:v>
                      </c:pt>
                      <c:pt idx="41">
                        <c:v>43</c:v>
                      </c:pt>
                      <c:pt idx="42">
                        <c:v>44</c:v>
                      </c:pt>
                      <c:pt idx="43">
                        <c:v>45</c:v>
                      </c:pt>
                      <c:pt idx="44">
                        <c:v>46</c:v>
                      </c:pt>
                      <c:pt idx="45">
                        <c:v>47</c:v>
                      </c:pt>
                      <c:pt idx="46">
                        <c:v>48</c:v>
                      </c:pt>
                      <c:pt idx="47">
                        <c:v>49</c:v>
                      </c:pt>
                      <c:pt idx="48">
                        <c:v>50</c:v>
                      </c:pt>
                      <c:pt idx="49">
                        <c:v>51</c:v>
                      </c:pt>
                      <c:pt idx="50">
                        <c:v>52</c:v>
                      </c:pt>
                      <c:pt idx="51">
                        <c:v>53</c:v>
                      </c:pt>
                      <c:pt idx="52">
                        <c:v>54</c:v>
                      </c:pt>
                      <c:pt idx="53">
                        <c:v>55</c:v>
                      </c:pt>
                      <c:pt idx="54">
                        <c:v>56</c:v>
                      </c:pt>
                      <c:pt idx="55">
                        <c:v>57</c:v>
                      </c:pt>
                      <c:pt idx="56">
                        <c:v>58</c:v>
                      </c:pt>
                      <c:pt idx="57">
                        <c:v>59</c:v>
                      </c:pt>
                      <c:pt idx="58">
                        <c:v>60</c:v>
                      </c:pt>
                      <c:pt idx="59">
                        <c:v>61</c:v>
                      </c:pt>
                      <c:pt idx="60">
                        <c:v>62</c:v>
                      </c:pt>
                      <c:pt idx="61">
                        <c:v>63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69A-4F35-9488-068592A01A80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t.liniowy!$G$1</c15:sqref>
                        </c15:formulaRef>
                      </c:ext>
                    </c:extLst>
                    <c:strCache>
                      <c:ptCount val="1"/>
                      <c:pt idx="0">
                        <c:v>gva-trend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t.liniowy!$A$2:$A$63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t.liniowy!$G$2:$G$63</c15:sqref>
                        </c15:formulaRef>
                      </c:ext>
                    </c:extLst>
                    <c:numCache>
                      <c:formatCode>#\ ##0.0</c:formatCode>
                      <c:ptCount val="62"/>
                      <c:pt idx="0">
                        <c:v>8771.7162826421772</c:v>
                      </c:pt>
                      <c:pt idx="1">
                        <c:v>10051.559958198071</c:v>
                      </c:pt>
                      <c:pt idx="2">
                        <c:v>8863.3036337539597</c:v>
                      </c:pt>
                      <c:pt idx="3">
                        <c:v>10114.847309309844</c:v>
                      </c:pt>
                      <c:pt idx="4">
                        <c:v>3017.3909848657349</c:v>
                      </c:pt>
                      <c:pt idx="5">
                        <c:v>5497.534660421632</c:v>
                      </c:pt>
                      <c:pt idx="6">
                        <c:v>5104.6783359775145</c:v>
                      </c:pt>
                      <c:pt idx="7">
                        <c:v>3940.5220115334014</c:v>
                      </c:pt>
                      <c:pt idx="8">
                        <c:v>-1339.2343129107103</c:v>
                      </c:pt>
                      <c:pt idx="9">
                        <c:v>722.30936264518823</c:v>
                      </c:pt>
                      <c:pt idx="10">
                        <c:v>1178.2530382010737</c:v>
                      </c:pt>
                      <c:pt idx="11">
                        <c:v>1024.7967137569576</c:v>
                      </c:pt>
                      <c:pt idx="12">
                        <c:v>-3951.9596106871541</c:v>
                      </c:pt>
                      <c:pt idx="13">
                        <c:v>-1077.6159351312599</c:v>
                      </c:pt>
                      <c:pt idx="14">
                        <c:v>-167.57225957537594</c:v>
                      </c:pt>
                      <c:pt idx="15">
                        <c:v>-580.62858401949052</c:v>
                      </c:pt>
                      <c:pt idx="16">
                        <c:v>-4874.2849084635964</c:v>
                      </c:pt>
                      <c:pt idx="17">
                        <c:v>-2452.0412329077008</c:v>
                      </c:pt>
                      <c:pt idx="18">
                        <c:v>-959.69755735181388</c:v>
                      </c:pt>
                      <c:pt idx="19">
                        <c:v>-1324.5538817959314</c:v>
                      </c:pt>
                      <c:pt idx="20">
                        <c:v>-5191.0102062400401</c:v>
                      </c:pt>
                      <c:pt idx="21">
                        <c:v>-2817.0665306841474</c:v>
                      </c:pt>
                      <c:pt idx="22">
                        <c:v>-2019.2228551282606</c:v>
                      </c:pt>
                      <c:pt idx="23">
                        <c:v>-1550.7791795723751</c:v>
                      </c:pt>
                      <c:pt idx="24">
                        <c:v>-6573.5355040164795</c:v>
                      </c:pt>
                      <c:pt idx="25">
                        <c:v>-3958.3918284605897</c:v>
                      </c:pt>
                      <c:pt idx="26">
                        <c:v>-2249.4481529047043</c:v>
                      </c:pt>
                      <c:pt idx="27">
                        <c:v>-2954.704477348816</c:v>
                      </c:pt>
                      <c:pt idx="28">
                        <c:v>-6158.2608017929233</c:v>
                      </c:pt>
                      <c:pt idx="29">
                        <c:v>-3716.517126237035</c:v>
                      </c:pt>
                      <c:pt idx="30">
                        <c:v>-1052.2734506811466</c:v>
                      </c:pt>
                      <c:pt idx="31">
                        <c:v>-3435.2297751252627</c:v>
                      </c:pt>
                      <c:pt idx="32">
                        <c:v>-6454.78609956937</c:v>
                      </c:pt>
                      <c:pt idx="33">
                        <c:v>-3405.9424240134758</c:v>
                      </c:pt>
                      <c:pt idx="34">
                        <c:v>-953.29874845759332</c:v>
                      </c:pt>
                      <c:pt idx="35">
                        <c:v>-3088.555072901705</c:v>
                      </c:pt>
                      <c:pt idx="36">
                        <c:v>-6289.3113973458167</c:v>
                      </c:pt>
                      <c:pt idx="37">
                        <c:v>-2529.1677217899196</c:v>
                      </c:pt>
                      <c:pt idx="38">
                        <c:v>380.67595376596728</c:v>
                      </c:pt>
                      <c:pt idx="39">
                        <c:v>-2759.9803706781531</c:v>
                      </c:pt>
                      <c:pt idx="40">
                        <c:v>-6916.9366951222546</c:v>
                      </c:pt>
                      <c:pt idx="41">
                        <c:v>-8932.7930195663648</c:v>
                      </c:pt>
                      <c:pt idx="42">
                        <c:v>-4348.0493440104765</c:v>
                      </c:pt>
                      <c:pt idx="43">
                        <c:v>-5889.2056684545969</c:v>
                      </c:pt>
                      <c:pt idx="44">
                        <c:v>-8048.1619928986984</c:v>
                      </c:pt>
                      <c:pt idx="45">
                        <c:v>-4619.8183173428115</c:v>
                      </c:pt>
                      <c:pt idx="46">
                        <c:v>302.72535821307974</c:v>
                      </c:pt>
                      <c:pt idx="47">
                        <c:v>-1335.5309662310392</c:v>
                      </c:pt>
                      <c:pt idx="48">
                        <c:v>-3450.0872906751465</c:v>
                      </c:pt>
                      <c:pt idx="49">
                        <c:v>867.35638488074619</c:v>
                      </c:pt>
                      <c:pt idx="50">
                        <c:v>6303.3000604366316</c:v>
                      </c:pt>
                      <c:pt idx="51">
                        <c:v>3579.0437359925199</c:v>
                      </c:pt>
                      <c:pt idx="52">
                        <c:v>-88.012588451587362</c:v>
                      </c:pt>
                      <c:pt idx="53">
                        <c:v>4173.9310871043053</c:v>
                      </c:pt>
                      <c:pt idx="54">
                        <c:v>9029.3747626601908</c:v>
                      </c:pt>
                      <c:pt idx="55">
                        <c:v>5910.8184382160762</c:v>
                      </c:pt>
                      <c:pt idx="56">
                        <c:v>1312.2621137719689</c:v>
                      </c:pt>
                      <c:pt idx="57">
                        <c:v>6324.8057893278601</c:v>
                      </c:pt>
                      <c:pt idx="58">
                        <c:v>11306.749464883746</c:v>
                      </c:pt>
                      <c:pt idx="59">
                        <c:v>8081.693140439631</c:v>
                      </c:pt>
                      <c:pt idx="60">
                        <c:v>2966.4368159955266</c:v>
                      </c:pt>
                      <c:pt idx="61">
                        <c:v>8687.5804915514163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69A-4F35-9488-068592A01A80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t.liniowy!$H$1</c15:sqref>
                        </c15:formulaRef>
                      </c:ext>
                    </c:extLst>
                    <c:strCache>
                      <c:ptCount val="1"/>
                      <c:pt idx="0">
                        <c:v>(gva-trend)^2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t.liniowy!$A$2:$A$63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t.liniowy!$H$2:$H$63</c15:sqref>
                        </c15:formulaRef>
                      </c:ext>
                    </c:extLst>
                    <c:numCache>
                      <c:formatCode>#\ ##0.0</c:formatCode>
                      <c:ptCount val="62"/>
                      <c:pt idx="0">
                        <c:v>76943006.543169901</c:v>
                      </c:pt>
                      <c:pt idx="1">
                        <c:v>101033857.59325081</c:v>
                      </c:pt>
                      <c:pt idx="2">
                        <c:v>78558151.304116145</c:v>
                      </c:pt>
                      <c:pt idx="3">
                        <c:v>102310136.09065259</c:v>
                      </c:pt>
                      <c:pt idx="4">
                        <c:v>9104648.3555490095</c:v>
                      </c:pt>
                      <c:pt idx="5">
                        <c:v>30222887.342537187</c:v>
                      </c:pt>
                      <c:pt idx="6">
                        <c:v>26057740.913798168</c:v>
                      </c:pt>
                      <c:pt idx="7">
                        <c:v>15527713.723379243</c:v>
                      </c:pt>
                      <c:pt idx="8">
                        <c:v>1793548.5448774223</c:v>
                      </c:pt>
                      <c:pt idx="9">
                        <c:v>521730.81536489807</c:v>
                      </c:pt>
                      <c:pt idx="10">
                        <c:v>1388280.2220300608</c:v>
                      </c:pt>
                      <c:pt idx="11">
                        <c:v>1050208.3045270597</c:v>
                      </c:pt>
                      <c:pt idx="12">
                        <c:v>15617984.764502563</c:v>
                      </c:pt>
                      <c:pt idx="13">
                        <c:v>1161256.1036488197</c:v>
                      </c:pt>
                      <c:pt idx="14">
                        <c:v>28080.462179197173</c:v>
                      </c:pt>
                      <c:pt idx="15">
                        <c:v>337129.55258047854</c:v>
                      </c:pt>
                      <c:pt idx="16">
                        <c:v>23758653.368875969</c:v>
                      </c:pt>
                      <c:pt idx="17">
                        <c:v>6012506.2078795172</c:v>
                      </c:pt>
                      <c:pt idx="18">
                        <c:v>921019.40158703807</c:v>
                      </c:pt>
                      <c:pt idx="19">
                        <c:v>1754442.9857806701</c:v>
                      </c:pt>
                      <c:pt idx="20">
                        <c:v>26946586.961288262</c:v>
                      </c:pt>
                      <c:pt idx="21">
                        <c:v>7935863.8383008186</c:v>
                      </c:pt>
                      <c:pt idx="22">
                        <c:v>4077260.9386723242</c:v>
                      </c:pt>
                      <c:pt idx="23">
                        <c:v>2404916.0637951689</c:v>
                      </c:pt>
                      <c:pt idx="24">
                        <c:v>43211369.022565193</c:v>
                      </c:pt>
                      <c:pt idx="25">
                        <c:v>15668865.867623571</c:v>
                      </c:pt>
                      <c:pt idx="26">
                        <c:v>5060016.9926063856</c:v>
                      </c:pt>
                      <c:pt idx="27">
                        <c:v>8730278.5484651402</c:v>
                      </c:pt>
                      <c:pt idx="28">
                        <c:v>37924176.102899216</c:v>
                      </c:pt>
                      <c:pt idx="29">
                        <c:v>13812499.549613189</c:v>
                      </c:pt>
                      <c:pt idx="30">
                        <c:v>1107279.4150084076</c:v>
                      </c:pt>
                      <c:pt idx="31">
                        <c:v>11800803.607907163</c:v>
                      </c:pt>
                      <c:pt idx="32">
                        <c:v>41664263.591193959</c:v>
                      </c:pt>
                      <c:pt idx="33">
                        <c:v>11600443.795694791</c:v>
                      </c:pt>
                      <c:pt idx="34">
                        <c:v>908778.50381081377</c:v>
                      </c:pt>
                      <c:pt idx="35">
                        <c:v>9539172.4383468553</c:v>
                      </c:pt>
                      <c:pt idx="36">
                        <c:v>39555437.852783985</c:v>
                      </c:pt>
                      <c:pt idx="37">
                        <c:v>6396689.3649440119</c:v>
                      </c:pt>
                      <c:pt idx="38">
                        <c:v>144914.18177562885</c:v>
                      </c:pt>
                      <c:pt idx="39">
                        <c:v>7617491.6465287153</c:v>
                      </c:pt>
                      <c:pt idx="40">
                        <c:v>47844013.244328775</c:v>
                      </c:pt>
                      <c:pt idx="41">
                        <c:v>79794791.130413577</c:v>
                      </c:pt>
                      <c:pt idx="42">
                        <c:v>18905533.097949933</c:v>
                      </c:pt>
                      <c:pt idx="43">
                        <c:v>34682743.405357756</c:v>
                      </c:pt>
                      <c:pt idx="44">
                        <c:v>64772911.463939145</c:v>
                      </c:pt>
                      <c:pt idx="45">
                        <c:v>21342721.285256166</c:v>
                      </c:pt>
                      <c:pt idx="46">
                        <c:v>91642.642505237454</c:v>
                      </c:pt>
                      <c:pt idx="47">
                        <c:v>1783642.9617620131</c:v>
                      </c:pt>
                      <c:pt idx="48">
                        <c:v>11903102.313278172</c:v>
                      </c:pt>
                      <c:pt idx="49">
                        <c:v>752307.09839339717</c:v>
                      </c:pt>
                      <c:pt idx="50">
                        <c:v>39731591.65190044</c:v>
                      </c:pt>
                      <c:pt idx="51">
                        <c:v>12809554.064147295</c:v>
                      </c:pt>
                      <c:pt idx="52">
                        <c:v>7746.2157259484893</c:v>
                      </c:pt>
                      <c:pt idx="53">
                        <c:v>17421700.719895728</c:v>
                      </c:pt>
                      <c:pt idx="54">
                        <c:v>81529608.604564771</c:v>
                      </c:pt>
                      <c:pt idx="55">
                        <c:v>34937774.609555133</c:v>
                      </c:pt>
                      <c:pt idx="56">
                        <c:v>1722031.8552412759</c:v>
                      </c:pt>
                      <c:pt idx="57">
                        <c:v>40003168.272715218</c:v>
                      </c:pt>
                      <c:pt idx="58">
                        <c:v>127842583.46164887</c:v>
                      </c:pt>
                      <c:pt idx="59">
                        <c:v>65313764.016228981</c:v>
                      </c:pt>
                      <c:pt idx="60">
                        <c:v>8799747.3832936771</c:v>
                      </c:pt>
                      <c:pt idx="61">
                        <c:v>75474054.79718475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69A-4F35-9488-068592A01A80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t.liniowy!$I$1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t.liniowy!$A$2:$A$63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t.liniowy!$I$2:$I$63</c15:sqref>
                        </c15:formulaRef>
                      </c:ext>
                    </c:extLst>
                    <c:numCache>
                      <c:formatCode>#\ ##0.0</c:formatCode>
                      <c:ptCount val="62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669A-4F35-9488-068592A01A80}"/>
                  </c:ext>
                </c:extLst>
              </c15:ser>
            </c15:filteredLineSeries>
          </c:ext>
        </c:extLst>
      </c:lineChart>
      <c:catAx>
        <c:axId val="818987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818985855"/>
        <c:crosses val="autoZero"/>
        <c:auto val="0"/>
        <c:lblAlgn val="ctr"/>
        <c:lblOffset val="500"/>
        <c:tickLblSkip val="1"/>
        <c:noMultiLvlLbl val="0"/>
      </c:catAx>
      <c:valAx>
        <c:axId val="81898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818987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t.kwadratowy!$B$1</c:f>
              <c:strCache>
                <c:ptCount val="1"/>
                <c:pt idx="0">
                  <c:v>GVA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t.kwadratowy!$A$2:$A$63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t.kwadratowy!$B$2:$B$63</c:f>
              <c:numCache>
                <c:formatCode>#\ ##0.0</c:formatCode>
                <c:ptCount val="62"/>
                <c:pt idx="0">
                  <c:v>48489.7</c:v>
                </c:pt>
                <c:pt idx="1">
                  <c:v>49856.6</c:v>
                </c:pt>
                <c:pt idx="2">
                  <c:v>48755.4</c:v>
                </c:pt>
                <c:pt idx="3">
                  <c:v>50094</c:v>
                </c:pt>
                <c:pt idx="4">
                  <c:v>43083.6</c:v>
                </c:pt>
                <c:pt idx="5">
                  <c:v>45650.8</c:v>
                </c:pt>
                <c:pt idx="6">
                  <c:v>45345</c:v>
                </c:pt>
                <c:pt idx="7">
                  <c:v>44267.9</c:v>
                </c:pt>
                <c:pt idx="8">
                  <c:v>39075.199999999997</c:v>
                </c:pt>
                <c:pt idx="9">
                  <c:v>41223.800000000003</c:v>
                </c:pt>
                <c:pt idx="10">
                  <c:v>41766.800000000003</c:v>
                </c:pt>
                <c:pt idx="11">
                  <c:v>41700.400000000001</c:v>
                </c:pt>
                <c:pt idx="12">
                  <c:v>36810.699999999997</c:v>
                </c:pt>
                <c:pt idx="13">
                  <c:v>39772.1</c:v>
                </c:pt>
                <c:pt idx="14">
                  <c:v>40769.199999999997</c:v>
                </c:pt>
                <c:pt idx="15">
                  <c:v>40443.199999999997</c:v>
                </c:pt>
                <c:pt idx="16">
                  <c:v>36236.6</c:v>
                </c:pt>
                <c:pt idx="17">
                  <c:v>38745.9</c:v>
                </c:pt>
                <c:pt idx="18">
                  <c:v>40325.300000000003</c:v>
                </c:pt>
                <c:pt idx="19">
                  <c:v>40047.5</c:v>
                </c:pt>
                <c:pt idx="20">
                  <c:v>36268.1</c:v>
                </c:pt>
                <c:pt idx="21">
                  <c:v>38729.1</c:v>
                </c:pt>
                <c:pt idx="22">
                  <c:v>39614</c:v>
                </c:pt>
                <c:pt idx="23">
                  <c:v>40169.5</c:v>
                </c:pt>
                <c:pt idx="24">
                  <c:v>35233.800000000003</c:v>
                </c:pt>
                <c:pt idx="25">
                  <c:v>37936</c:v>
                </c:pt>
                <c:pt idx="26">
                  <c:v>39732</c:v>
                </c:pt>
                <c:pt idx="27">
                  <c:v>39113.800000000003</c:v>
                </c:pt>
                <c:pt idx="28">
                  <c:v>35997.300000000003</c:v>
                </c:pt>
                <c:pt idx="29">
                  <c:v>38526.1</c:v>
                </c:pt>
                <c:pt idx="30">
                  <c:v>41277.4</c:v>
                </c:pt>
                <c:pt idx="31">
                  <c:v>38981.5</c:v>
                </c:pt>
                <c:pt idx="32">
                  <c:v>36049</c:v>
                </c:pt>
                <c:pt idx="33">
                  <c:v>39184.9</c:v>
                </c:pt>
                <c:pt idx="34">
                  <c:v>41724.6</c:v>
                </c:pt>
                <c:pt idx="35">
                  <c:v>39676.400000000001</c:v>
                </c:pt>
                <c:pt idx="36">
                  <c:v>36562.699999999997</c:v>
                </c:pt>
                <c:pt idx="37">
                  <c:v>40409.9</c:v>
                </c:pt>
                <c:pt idx="38">
                  <c:v>43406.8</c:v>
                </c:pt>
                <c:pt idx="39">
                  <c:v>40353.199999999997</c:v>
                </c:pt>
                <c:pt idx="40">
                  <c:v>36283.300000000003</c:v>
                </c:pt>
                <c:pt idx="41">
                  <c:v>34354.5</c:v>
                </c:pt>
                <c:pt idx="42">
                  <c:v>39026.300000000003</c:v>
                </c:pt>
                <c:pt idx="43">
                  <c:v>37572.199999999997</c:v>
                </c:pt>
                <c:pt idx="44">
                  <c:v>35500.300000000003</c:v>
                </c:pt>
                <c:pt idx="45">
                  <c:v>39015.699999999997</c:v>
                </c:pt>
                <c:pt idx="46">
                  <c:v>44025.3</c:v>
                </c:pt>
                <c:pt idx="47">
                  <c:v>42474.1</c:v>
                </c:pt>
                <c:pt idx="48">
                  <c:v>40446.6</c:v>
                </c:pt>
                <c:pt idx="49">
                  <c:v>44851.1</c:v>
                </c:pt>
                <c:pt idx="50">
                  <c:v>50374.1</c:v>
                </c:pt>
                <c:pt idx="51">
                  <c:v>47736.9</c:v>
                </c:pt>
                <c:pt idx="52">
                  <c:v>44156.9</c:v>
                </c:pt>
                <c:pt idx="53">
                  <c:v>48505.9</c:v>
                </c:pt>
                <c:pt idx="54">
                  <c:v>53448.4</c:v>
                </c:pt>
                <c:pt idx="55">
                  <c:v>50416.9</c:v>
                </c:pt>
                <c:pt idx="56">
                  <c:v>45905.4</c:v>
                </c:pt>
                <c:pt idx="57">
                  <c:v>51005</c:v>
                </c:pt>
                <c:pt idx="58">
                  <c:v>56074</c:v>
                </c:pt>
                <c:pt idx="59">
                  <c:v>52936</c:v>
                </c:pt>
                <c:pt idx="60">
                  <c:v>47907.8</c:v>
                </c:pt>
                <c:pt idx="61">
                  <c:v>53716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53-4D70-B3C0-5E778530E199}"/>
            </c:ext>
          </c:extLst>
        </c:ser>
        <c:ser>
          <c:idx val="5"/>
          <c:order val="5"/>
          <c:tx>
            <c:strRef>
              <c:f>t.kwadratowy!$G$1</c:f>
              <c:strCache>
                <c:ptCount val="1"/>
                <c:pt idx="0">
                  <c:v>y^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t.kwadratowy!$A$2:$A$63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t.kwadratowy!$G$2:$G$63</c:f>
              <c:numCache>
                <c:formatCode>0.0</c:formatCode>
                <c:ptCount val="62"/>
                <c:pt idx="0">
                  <c:v>48884.396303762638</c:v>
                </c:pt>
                <c:pt idx="1">
                  <c:v>48069.838275445574</c:v>
                </c:pt>
                <c:pt idx="2">
                  <c:v>47285.334058887209</c:v>
                </c:pt>
                <c:pt idx="3">
                  <c:v>46530.883654087556</c:v>
                </c:pt>
                <c:pt idx="4">
                  <c:v>45806.48706104661</c:v>
                </c:pt>
                <c:pt idx="5">
                  <c:v>45112.144279764369</c:v>
                </c:pt>
                <c:pt idx="6">
                  <c:v>44447.855310240833</c:v>
                </c:pt>
                <c:pt idx="7">
                  <c:v>43813.620152476004</c:v>
                </c:pt>
                <c:pt idx="8">
                  <c:v>43209.43880646988</c:v>
                </c:pt>
                <c:pt idx="9">
                  <c:v>42635.311272222461</c:v>
                </c:pt>
                <c:pt idx="10">
                  <c:v>42091.237549733749</c:v>
                </c:pt>
                <c:pt idx="11">
                  <c:v>41577.217639003749</c:v>
                </c:pt>
                <c:pt idx="12">
                  <c:v>41093.251540032448</c:v>
                </c:pt>
                <c:pt idx="13">
                  <c:v>40639.33925281986</c:v>
                </c:pt>
                <c:pt idx="14">
                  <c:v>40215.48077736597</c:v>
                </c:pt>
                <c:pt idx="15">
                  <c:v>39821.676113670794</c:v>
                </c:pt>
                <c:pt idx="16">
                  <c:v>39457.925261734315</c:v>
                </c:pt>
                <c:pt idx="17">
                  <c:v>39124.22822155655</c:v>
                </c:pt>
                <c:pt idx="18">
                  <c:v>38820.584993137483</c:v>
                </c:pt>
                <c:pt idx="19">
                  <c:v>38546.995576477129</c:v>
                </c:pt>
                <c:pt idx="20">
                  <c:v>38303.459971575481</c:v>
                </c:pt>
                <c:pt idx="21">
                  <c:v>38089.978178432539</c:v>
                </c:pt>
                <c:pt idx="22">
                  <c:v>37906.550197048302</c:v>
                </c:pt>
                <c:pt idx="23">
                  <c:v>37753.176027422771</c:v>
                </c:pt>
                <c:pt idx="24">
                  <c:v>37629.855669555945</c:v>
                </c:pt>
                <c:pt idx="25">
                  <c:v>37536.589123447826</c:v>
                </c:pt>
                <c:pt idx="26">
                  <c:v>37473.376389098412</c:v>
                </c:pt>
                <c:pt idx="27">
                  <c:v>37440.217466507711</c:v>
                </c:pt>
                <c:pt idx="28">
                  <c:v>37437.112355675708</c:v>
                </c:pt>
                <c:pt idx="29">
                  <c:v>37464.061056602412</c:v>
                </c:pt>
                <c:pt idx="30">
                  <c:v>37521.063569287828</c:v>
                </c:pt>
                <c:pt idx="31">
                  <c:v>37608.119893731942</c:v>
                </c:pt>
                <c:pt idx="32">
                  <c:v>37725.23002993477</c:v>
                </c:pt>
                <c:pt idx="33">
                  <c:v>37872.393977896303</c:v>
                </c:pt>
                <c:pt idx="34">
                  <c:v>38049.611737616535</c:v>
                </c:pt>
                <c:pt idx="35">
                  <c:v>38256.883309095487</c:v>
                </c:pt>
                <c:pt idx="36">
                  <c:v>38494.20869233313</c:v>
                </c:pt>
                <c:pt idx="37">
                  <c:v>38761.587887329486</c:v>
                </c:pt>
                <c:pt idx="38">
                  <c:v>39059.020894084548</c:v>
                </c:pt>
                <c:pt idx="39">
                  <c:v>39386.507712598315</c:v>
                </c:pt>
                <c:pt idx="40">
                  <c:v>39744.048342870788</c:v>
                </c:pt>
                <c:pt idx="41">
                  <c:v>40131.642784901967</c:v>
                </c:pt>
                <c:pt idx="42">
                  <c:v>40549.291038691852</c:v>
                </c:pt>
                <c:pt idx="43">
                  <c:v>40996.99310424045</c:v>
                </c:pt>
                <c:pt idx="44">
                  <c:v>41474.748981547746</c:v>
                </c:pt>
                <c:pt idx="45">
                  <c:v>41982.558670613755</c:v>
                </c:pt>
                <c:pt idx="46">
                  <c:v>42520.422171438462</c:v>
                </c:pt>
                <c:pt idx="47">
                  <c:v>43088.339484021883</c:v>
                </c:pt>
                <c:pt idx="48">
                  <c:v>43686.310608364001</c:v>
                </c:pt>
                <c:pt idx="49">
                  <c:v>44314.335544464833</c:v>
                </c:pt>
                <c:pt idx="50">
                  <c:v>44972.414292324363</c:v>
                </c:pt>
                <c:pt idx="51">
                  <c:v>45660.546851942607</c:v>
                </c:pt>
                <c:pt idx="52">
                  <c:v>46378.733223319556</c:v>
                </c:pt>
                <c:pt idx="53">
                  <c:v>47126.97340645521</c:v>
                </c:pt>
                <c:pt idx="54">
                  <c:v>47905.267401349571</c:v>
                </c:pt>
                <c:pt idx="55">
                  <c:v>48713.615208002637</c:v>
                </c:pt>
                <c:pt idx="56">
                  <c:v>49552.016826414409</c:v>
                </c:pt>
                <c:pt idx="57">
                  <c:v>50420.472256584886</c:v>
                </c:pt>
                <c:pt idx="58">
                  <c:v>51318.981498514069</c:v>
                </c:pt>
                <c:pt idx="59">
                  <c:v>52247.544552201965</c:v>
                </c:pt>
                <c:pt idx="60">
                  <c:v>53206.16141764856</c:v>
                </c:pt>
                <c:pt idx="61">
                  <c:v>54194.832094853868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D53-4D70-B3C0-5E778530E199}"/>
            </c:ext>
          </c:extLst>
        </c:ser>
        <c:ser>
          <c:idx val="8"/>
          <c:order val="8"/>
          <c:tx>
            <c:strRef>
              <c:f>t.kwadratowy!$J$1</c:f>
              <c:strCache>
                <c:ptCount val="1"/>
                <c:pt idx="0">
                  <c:v>Przyrost kwartalny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t.kwadratowy!$A$2:$A$63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t.kwadratowy!$J$2:$J$63</c:f>
              <c:numCache>
                <c:formatCode>General</c:formatCode>
                <c:ptCount val="62"/>
                <c:pt idx="1">
                  <c:v>1366.9000000000015</c:v>
                </c:pt>
                <c:pt idx="2">
                  <c:v>-1101.1999999999971</c:v>
                </c:pt>
                <c:pt idx="3">
                  <c:v>1338.5999999999985</c:v>
                </c:pt>
                <c:pt idx="4">
                  <c:v>-7010.4000000000015</c:v>
                </c:pt>
                <c:pt idx="5">
                  <c:v>2567.2000000000044</c:v>
                </c:pt>
                <c:pt idx="6">
                  <c:v>-305.80000000000291</c:v>
                </c:pt>
                <c:pt idx="7">
                  <c:v>-1077.0999999999985</c:v>
                </c:pt>
                <c:pt idx="8">
                  <c:v>-5192.7000000000044</c:v>
                </c:pt>
                <c:pt idx="9">
                  <c:v>2148.6000000000058</c:v>
                </c:pt>
                <c:pt idx="10">
                  <c:v>543</c:v>
                </c:pt>
                <c:pt idx="11">
                  <c:v>-66.400000000001455</c:v>
                </c:pt>
                <c:pt idx="12">
                  <c:v>-4889.7000000000044</c:v>
                </c:pt>
                <c:pt idx="13">
                  <c:v>2961.4000000000015</c:v>
                </c:pt>
                <c:pt idx="14">
                  <c:v>997.09999999999854</c:v>
                </c:pt>
                <c:pt idx="15">
                  <c:v>-326</c:v>
                </c:pt>
                <c:pt idx="16">
                  <c:v>-4206.5999999999985</c:v>
                </c:pt>
                <c:pt idx="17">
                  <c:v>2509.3000000000029</c:v>
                </c:pt>
                <c:pt idx="18">
                  <c:v>1579.4000000000015</c:v>
                </c:pt>
                <c:pt idx="19">
                  <c:v>-277.80000000000291</c:v>
                </c:pt>
                <c:pt idx="20">
                  <c:v>-3779.4000000000015</c:v>
                </c:pt>
                <c:pt idx="21">
                  <c:v>2461</c:v>
                </c:pt>
                <c:pt idx="22">
                  <c:v>884.90000000000146</c:v>
                </c:pt>
                <c:pt idx="23">
                  <c:v>555.5</c:v>
                </c:pt>
                <c:pt idx="24">
                  <c:v>-4935.6999999999971</c:v>
                </c:pt>
                <c:pt idx="25">
                  <c:v>2702.1999999999971</c:v>
                </c:pt>
                <c:pt idx="26">
                  <c:v>1796</c:v>
                </c:pt>
                <c:pt idx="27">
                  <c:v>-618.19999999999709</c:v>
                </c:pt>
                <c:pt idx="28">
                  <c:v>-3116.5</c:v>
                </c:pt>
                <c:pt idx="29">
                  <c:v>2528.7999999999956</c:v>
                </c:pt>
                <c:pt idx="30">
                  <c:v>2751.3000000000029</c:v>
                </c:pt>
                <c:pt idx="31">
                  <c:v>-2295.9000000000015</c:v>
                </c:pt>
                <c:pt idx="32">
                  <c:v>-2932.5</c:v>
                </c:pt>
                <c:pt idx="33">
                  <c:v>3135.9000000000015</c:v>
                </c:pt>
                <c:pt idx="34">
                  <c:v>2539.6999999999971</c:v>
                </c:pt>
                <c:pt idx="35">
                  <c:v>-2048.1999999999971</c:v>
                </c:pt>
                <c:pt idx="36">
                  <c:v>-3113.7000000000044</c:v>
                </c:pt>
                <c:pt idx="37">
                  <c:v>3847.2000000000044</c:v>
                </c:pt>
                <c:pt idx="38">
                  <c:v>2996.9000000000015</c:v>
                </c:pt>
                <c:pt idx="39">
                  <c:v>-3053.6000000000058</c:v>
                </c:pt>
                <c:pt idx="40">
                  <c:v>-4069.8999999999942</c:v>
                </c:pt>
                <c:pt idx="41">
                  <c:v>-1928.8000000000029</c:v>
                </c:pt>
                <c:pt idx="42">
                  <c:v>4671.8000000000029</c:v>
                </c:pt>
                <c:pt idx="43">
                  <c:v>-1454.1000000000058</c:v>
                </c:pt>
                <c:pt idx="44">
                  <c:v>-2071.8999999999942</c:v>
                </c:pt>
                <c:pt idx="45">
                  <c:v>3515.3999999999942</c:v>
                </c:pt>
                <c:pt idx="46">
                  <c:v>5009.6000000000058</c:v>
                </c:pt>
                <c:pt idx="47">
                  <c:v>-1551.2000000000044</c:v>
                </c:pt>
                <c:pt idx="48">
                  <c:v>-2027.5</c:v>
                </c:pt>
                <c:pt idx="49">
                  <c:v>4404.5</c:v>
                </c:pt>
                <c:pt idx="50">
                  <c:v>5523</c:v>
                </c:pt>
                <c:pt idx="51">
                  <c:v>-2637.1999999999971</c:v>
                </c:pt>
                <c:pt idx="52">
                  <c:v>-3580</c:v>
                </c:pt>
                <c:pt idx="53">
                  <c:v>4349</c:v>
                </c:pt>
                <c:pt idx="54">
                  <c:v>4942.5</c:v>
                </c:pt>
                <c:pt idx="55">
                  <c:v>-3031.5</c:v>
                </c:pt>
                <c:pt idx="56">
                  <c:v>-4511.5</c:v>
                </c:pt>
                <c:pt idx="57">
                  <c:v>5099.5999999999985</c:v>
                </c:pt>
                <c:pt idx="58">
                  <c:v>5069</c:v>
                </c:pt>
                <c:pt idx="59">
                  <c:v>-3138</c:v>
                </c:pt>
                <c:pt idx="60">
                  <c:v>-5028.1999999999971</c:v>
                </c:pt>
                <c:pt idx="61">
                  <c:v>5808.1999999999971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D53-4D70-B3C0-5E778530E199}"/>
            </c:ext>
          </c:extLst>
        </c:ser>
        <c:ser>
          <c:idx val="9"/>
          <c:order val="9"/>
          <c:tx>
            <c:strRef>
              <c:f>t.kwadratowy!$K$1</c:f>
              <c:strCache>
                <c:ptCount val="1"/>
                <c:pt idx="0">
                  <c:v>Wahania losowe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t.kwadratowy!$A$2:$A$63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t.kwadratowy!$K$2:$K$63</c:f>
              <c:numCache>
                <c:formatCode>0.00</c:formatCode>
                <c:ptCount val="62"/>
                <c:pt idx="1">
                  <c:v>-1562.7245833333318</c:v>
                </c:pt>
                <c:pt idx="2">
                  <c:v>-3590.0295833333312</c:v>
                </c:pt>
                <c:pt idx="3">
                  <c:v>2688.3237499999996</c:v>
                </c:pt>
                <c:pt idx="4">
                  <c:v>-2941.6695833333347</c:v>
                </c:pt>
                <c:pt idx="5">
                  <c:v>-362.42458333332888</c:v>
                </c:pt>
                <c:pt idx="6">
                  <c:v>-2794.629583333337</c:v>
                </c:pt>
                <c:pt idx="7">
                  <c:v>272.62375000000247</c:v>
                </c:pt>
                <c:pt idx="8">
                  <c:v>-1123.9695833333376</c:v>
                </c:pt>
                <c:pt idx="9">
                  <c:v>-781.02458333332743</c:v>
                </c:pt>
                <c:pt idx="10">
                  <c:v>-1945.8295833333341</c:v>
                </c:pt>
                <c:pt idx="11">
                  <c:v>1283.3237499999996</c:v>
                </c:pt>
                <c:pt idx="12">
                  <c:v>-820.9695833333376</c:v>
                </c:pt>
                <c:pt idx="13">
                  <c:v>31.775416666668207</c:v>
                </c:pt>
                <c:pt idx="14">
                  <c:v>-1491.7295833333355</c:v>
                </c:pt>
                <c:pt idx="15">
                  <c:v>1023.723750000001</c:v>
                </c:pt>
                <c:pt idx="16">
                  <c:v>-137.86958333333178</c:v>
                </c:pt>
                <c:pt idx="17">
                  <c:v>-420.32458333333034</c:v>
                </c:pt>
                <c:pt idx="18">
                  <c:v>-909.42958333333263</c:v>
                </c:pt>
                <c:pt idx="19">
                  <c:v>1071.9237499999981</c:v>
                </c:pt>
                <c:pt idx="20">
                  <c:v>289.33041666666531</c:v>
                </c:pt>
                <c:pt idx="21">
                  <c:v>-468.62458333333325</c:v>
                </c:pt>
                <c:pt idx="22">
                  <c:v>-1603.9295833333326</c:v>
                </c:pt>
                <c:pt idx="23">
                  <c:v>1905.223750000001</c:v>
                </c:pt>
                <c:pt idx="24">
                  <c:v>-866.96958333333032</c:v>
                </c:pt>
                <c:pt idx="25">
                  <c:v>-227.42458333333616</c:v>
                </c:pt>
                <c:pt idx="26">
                  <c:v>-692.82958333333409</c:v>
                </c:pt>
                <c:pt idx="27">
                  <c:v>731.52375000000393</c:v>
                </c:pt>
                <c:pt idx="28">
                  <c:v>952.23041666666677</c:v>
                </c:pt>
                <c:pt idx="29">
                  <c:v>-400.82458333333761</c:v>
                </c:pt>
                <c:pt idx="30">
                  <c:v>262.47041666666883</c:v>
                </c:pt>
                <c:pt idx="31">
                  <c:v>-946.17625000000044</c:v>
                </c:pt>
                <c:pt idx="32">
                  <c:v>1136.2304166666668</c:v>
                </c:pt>
                <c:pt idx="33">
                  <c:v>206.27541666666821</c:v>
                </c:pt>
                <c:pt idx="34">
                  <c:v>50.870416666663004</c:v>
                </c:pt>
                <c:pt idx="35">
                  <c:v>-698.47624999999607</c:v>
                </c:pt>
                <c:pt idx="36">
                  <c:v>955.0304166666624</c:v>
                </c:pt>
                <c:pt idx="37">
                  <c:v>917.57541666667112</c:v>
                </c:pt>
                <c:pt idx="38">
                  <c:v>508.07041666666737</c:v>
                </c:pt>
                <c:pt idx="39">
                  <c:v>-1703.8762500000048</c:v>
                </c:pt>
                <c:pt idx="40">
                  <c:v>-1.1695833333274095</c:v>
                </c:pt>
                <c:pt idx="41">
                  <c:v>-4858.4245833333362</c:v>
                </c:pt>
                <c:pt idx="42">
                  <c:v>2182.9704166666688</c:v>
                </c:pt>
                <c:pt idx="43">
                  <c:v>-104.3762500000048</c:v>
                </c:pt>
                <c:pt idx="44">
                  <c:v>1996.8304166666726</c:v>
                </c:pt>
                <c:pt idx="45">
                  <c:v>585.77541666666093</c:v>
                </c:pt>
                <c:pt idx="46">
                  <c:v>2520.7704166666717</c:v>
                </c:pt>
                <c:pt idx="47">
                  <c:v>-201.47625000000335</c:v>
                </c:pt>
                <c:pt idx="48">
                  <c:v>2041.2304166666668</c:v>
                </c:pt>
                <c:pt idx="49">
                  <c:v>1474.8754166666668</c:v>
                </c:pt>
                <c:pt idx="50">
                  <c:v>3034.1704166666659</c:v>
                </c:pt>
                <c:pt idx="51">
                  <c:v>-1287.4762499999961</c:v>
                </c:pt>
                <c:pt idx="52">
                  <c:v>488.73041666666677</c:v>
                </c:pt>
                <c:pt idx="53">
                  <c:v>1419.3754166666668</c:v>
                </c:pt>
                <c:pt idx="54">
                  <c:v>2453.6704166666659</c:v>
                </c:pt>
                <c:pt idx="55">
                  <c:v>-1681.776249999999</c:v>
                </c:pt>
                <c:pt idx="56">
                  <c:v>-442.76958333333323</c:v>
                </c:pt>
                <c:pt idx="57">
                  <c:v>2169.9754166666653</c:v>
                </c:pt>
                <c:pt idx="58">
                  <c:v>2580.1704166666659</c:v>
                </c:pt>
                <c:pt idx="59">
                  <c:v>-1788.276249999999</c:v>
                </c:pt>
                <c:pt idx="60">
                  <c:v>-959.46958333333032</c:v>
                </c:pt>
                <c:pt idx="61">
                  <c:v>2878.5754166666638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D53-4D70-B3C0-5E778530E1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9199328"/>
        <c:axId val="61918684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t.kwadratowy!$C$1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t.kwadratowy!$A$2:$A$63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t.kwadratowy!$C$2:$C$63</c15:sqref>
                        </c15:formulaRef>
                      </c:ext>
                    </c:extLst>
                    <c:numCache>
                      <c:formatCode>General</c:formatCode>
                      <c:ptCount val="6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3D53-4D70-B3C0-5E778530E19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t.kwadratowy!$D$1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t.kwadratowy!$A$2:$A$63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t.kwadratowy!$D$2:$D$63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</c:v>
                      </c:pt>
                      <c:pt idx="38">
                        <c:v>1</c:v>
                      </c:pt>
                      <c:pt idx="39">
                        <c:v>1</c:v>
                      </c:pt>
                      <c:pt idx="40">
                        <c:v>1</c:v>
                      </c:pt>
                      <c:pt idx="41">
                        <c:v>1</c:v>
                      </c:pt>
                      <c:pt idx="42">
                        <c:v>1</c:v>
                      </c:pt>
                      <c:pt idx="43">
                        <c:v>1</c:v>
                      </c:pt>
                      <c:pt idx="44">
                        <c:v>1</c:v>
                      </c:pt>
                      <c:pt idx="45">
                        <c:v>1</c:v>
                      </c:pt>
                      <c:pt idx="46">
                        <c:v>1</c:v>
                      </c:pt>
                      <c:pt idx="47">
                        <c:v>1</c:v>
                      </c:pt>
                      <c:pt idx="48">
                        <c:v>1</c:v>
                      </c:pt>
                      <c:pt idx="49">
                        <c:v>1</c:v>
                      </c:pt>
                      <c:pt idx="50">
                        <c:v>1</c:v>
                      </c:pt>
                      <c:pt idx="51">
                        <c:v>1</c:v>
                      </c:pt>
                      <c:pt idx="52">
                        <c:v>1</c:v>
                      </c:pt>
                      <c:pt idx="53">
                        <c:v>1</c:v>
                      </c:pt>
                      <c:pt idx="54">
                        <c:v>1</c:v>
                      </c:pt>
                      <c:pt idx="55">
                        <c:v>1</c:v>
                      </c:pt>
                      <c:pt idx="56">
                        <c:v>1</c:v>
                      </c:pt>
                      <c:pt idx="57">
                        <c:v>1</c:v>
                      </c:pt>
                      <c:pt idx="58">
                        <c:v>1</c:v>
                      </c:pt>
                      <c:pt idx="59">
                        <c:v>1</c:v>
                      </c:pt>
                      <c:pt idx="60">
                        <c:v>1</c:v>
                      </c:pt>
                      <c:pt idx="6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D53-4D70-B3C0-5E778530E19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t.kwadratowy!$E$1</c15:sqref>
                        </c15:formulaRef>
                      </c:ext>
                    </c:extLst>
                    <c:strCache>
                      <c:ptCount val="1"/>
                      <c:pt idx="0">
                        <c:v>t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t.kwadratowy!$A$2:$A$63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t.kwadratowy!$E$2:$E$63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</c:v>
                      </c:pt>
                      <c:pt idx="1">
                        <c:v>3</c:v>
                      </c:pt>
                      <c:pt idx="2">
                        <c:v>4</c:v>
                      </c:pt>
                      <c:pt idx="3">
                        <c:v>5</c:v>
                      </c:pt>
                      <c:pt idx="4">
                        <c:v>6</c:v>
                      </c:pt>
                      <c:pt idx="5">
                        <c:v>7</c:v>
                      </c:pt>
                      <c:pt idx="6">
                        <c:v>8</c:v>
                      </c:pt>
                      <c:pt idx="7">
                        <c:v>9</c:v>
                      </c:pt>
                      <c:pt idx="8">
                        <c:v>10</c:v>
                      </c:pt>
                      <c:pt idx="9">
                        <c:v>11</c:v>
                      </c:pt>
                      <c:pt idx="10">
                        <c:v>12</c:v>
                      </c:pt>
                      <c:pt idx="11">
                        <c:v>13</c:v>
                      </c:pt>
                      <c:pt idx="12">
                        <c:v>14</c:v>
                      </c:pt>
                      <c:pt idx="13">
                        <c:v>15</c:v>
                      </c:pt>
                      <c:pt idx="14">
                        <c:v>16</c:v>
                      </c:pt>
                      <c:pt idx="15">
                        <c:v>17</c:v>
                      </c:pt>
                      <c:pt idx="16">
                        <c:v>18</c:v>
                      </c:pt>
                      <c:pt idx="17">
                        <c:v>19</c:v>
                      </c:pt>
                      <c:pt idx="18">
                        <c:v>20</c:v>
                      </c:pt>
                      <c:pt idx="19">
                        <c:v>21</c:v>
                      </c:pt>
                      <c:pt idx="20">
                        <c:v>22</c:v>
                      </c:pt>
                      <c:pt idx="21">
                        <c:v>23</c:v>
                      </c:pt>
                      <c:pt idx="22">
                        <c:v>24</c:v>
                      </c:pt>
                      <c:pt idx="23">
                        <c:v>25</c:v>
                      </c:pt>
                      <c:pt idx="24">
                        <c:v>26</c:v>
                      </c:pt>
                      <c:pt idx="25">
                        <c:v>27</c:v>
                      </c:pt>
                      <c:pt idx="26">
                        <c:v>28</c:v>
                      </c:pt>
                      <c:pt idx="27">
                        <c:v>29</c:v>
                      </c:pt>
                      <c:pt idx="28">
                        <c:v>30</c:v>
                      </c:pt>
                      <c:pt idx="29">
                        <c:v>31</c:v>
                      </c:pt>
                      <c:pt idx="30">
                        <c:v>32</c:v>
                      </c:pt>
                      <c:pt idx="31">
                        <c:v>33</c:v>
                      </c:pt>
                      <c:pt idx="32">
                        <c:v>34</c:v>
                      </c:pt>
                      <c:pt idx="33">
                        <c:v>35</c:v>
                      </c:pt>
                      <c:pt idx="34">
                        <c:v>36</c:v>
                      </c:pt>
                      <c:pt idx="35">
                        <c:v>37</c:v>
                      </c:pt>
                      <c:pt idx="36">
                        <c:v>38</c:v>
                      </c:pt>
                      <c:pt idx="37">
                        <c:v>39</c:v>
                      </c:pt>
                      <c:pt idx="38">
                        <c:v>40</c:v>
                      </c:pt>
                      <c:pt idx="39">
                        <c:v>41</c:v>
                      </c:pt>
                      <c:pt idx="40">
                        <c:v>42</c:v>
                      </c:pt>
                      <c:pt idx="41">
                        <c:v>43</c:v>
                      </c:pt>
                      <c:pt idx="42">
                        <c:v>44</c:v>
                      </c:pt>
                      <c:pt idx="43">
                        <c:v>45</c:v>
                      </c:pt>
                      <c:pt idx="44">
                        <c:v>46</c:v>
                      </c:pt>
                      <c:pt idx="45">
                        <c:v>47</c:v>
                      </c:pt>
                      <c:pt idx="46">
                        <c:v>48</c:v>
                      </c:pt>
                      <c:pt idx="47">
                        <c:v>49</c:v>
                      </c:pt>
                      <c:pt idx="48">
                        <c:v>50</c:v>
                      </c:pt>
                      <c:pt idx="49">
                        <c:v>51</c:v>
                      </c:pt>
                      <c:pt idx="50">
                        <c:v>52</c:v>
                      </c:pt>
                      <c:pt idx="51">
                        <c:v>53</c:v>
                      </c:pt>
                      <c:pt idx="52">
                        <c:v>54</c:v>
                      </c:pt>
                      <c:pt idx="53">
                        <c:v>55</c:v>
                      </c:pt>
                      <c:pt idx="54">
                        <c:v>56</c:v>
                      </c:pt>
                      <c:pt idx="55">
                        <c:v>57</c:v>
                      </c:pt>
                      <c:pt idx="56">
                        <c:v>58</c:v>
                      </c:pt>
                      <c:pt idx="57">
                        <c:v>59</c:v>
                      </c:pt>
                      <c:pt idx="58">
                        <c:v>60</c:v>
                      </c:pt>
                      <c:pt idx="59">
                        <c:v>61</c:v>
                      </c:pt>
                      <c:pt idx="60">
                        <c:v>62</c:v>
                      </c:pt>
                      <c:pt idx="61">
                        <c:v>63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D53-4D70-B3C0-5E778530E19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t.kwadratowy!$F$1</c15:sqref>
                        </c15:formulaRef>
                      </c:ext>
                    </c:extLst>
                    <c:strCache>
                      <c:ptCount val="1"/>
                      <c:pt idx="0">
                        <c:v>t^2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t.kwadratowy!$A$2:$A$63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t.kwadratowy!$F$2:$F$63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4</c:v>
                      </c:pt>
                      <c:pt idx="1">
                        <c:v>9</c:v>
                      </c:pt>
                      <c:pt idx="2">
                        <c:v>16</c:v>
                      </c:pt>
                      <c:pt idx="3">
                        <c:v>25</c:v>
                      </c:pt>
                      <c:pt idx="4">
                        <c:v>36</c:v>
                      </c:pt>
                      <c:pt idx="5">
                        <c:v>49</c:v>
                      </c:pt>
                      <c:pt idx="6">
                        <c:v>64</c:v>
                      </c:pt>
                      <c:pt idx="7">
                        <c:v>81</c:v>
                      </c:pt>
                      <c:pt idx="8">
                        <c:v>100</c:v>
                      </c:pt>
                      <c:pt idx="9">
                        <c:v>121</c:v>
                      </c:pt>
                      <c:pt idx="10">
                        <c:v>144</c:v>
                      </c:pt>
                      <c:pt idx="11">
                        <c:v>169</c:v>
                      </c:pt>
                      <c:pt idx="12">
                        <c:v>196</c:v>
                      </c:pt>
                      <c:pt idx="13">
                        <c:v>225</c:v>
                      </c:pt>
                      <c:pt idx="14">
                        <c:v>256</c:v>
                      </c:pt>
                      <c:pt idx="15">
                        <c:v>289</c:v>
                      </c:pt>
                      <c:pt idx="16">
                        <c:v>324</c:v>
                      </c:pt>
                      <c:pt idx="17">
                        <c:v>361</c:v>
                      </c:pt>
                      <c:pt idx="18">
                        <c:v>400</c:v>
                      </c:pt>
                      <c:pt idx="19">
                        <c:v>441</c:v>
                      </c:pt>
                      <c:pt idx="20">
                        <c:v>484</c:v>
                      </c:pt>
                      <c:pt idx="21">
                        <c:v>529</c:v>
                      </c:pt>
                      <c:pt idx="22">
                        <c:v>576</c:v>
                      </c:pt>
                      <c:pt idx="23">
                        <c:v>625</c:v>
                      </c:pt>
                      <c:pt idx="24">
                        <c:v>676</c:v>
                      </c:pt>
                      <c:pt idx="25">
                        <c:v>729</c:v>
                      </c:pt>
                      <c:pt idx="26">
                        <c:v>784</c:v>
                      </c:pt>
                      <c:pt idx="27">
                        <c:v>841</c:v>
                      </c:pt>
                      <c:pt idx="28">
                        <c:v>900</c:v>
                      </c:pt>
                      <c:pt idx="29">
                        <c:v>961</c:v>
                      </c:pt>
                      <c:pt idx="30">
                        <c:v>1024</c:v>
                      </c:pt>
                      <c:pt idx="31">
                        <c:v>1089</c:v>
                      </c:pt>
                      <c:pt idx="32">
                        <c:v>1156</c:v>
                      </c:pt>
                      <c:pt idx="33">
                        <c:v>1225</c:v>
                      </c:pt>
                      <c:pt idx="34">
                        <c:v>1296</c:v>
                      </c:pt>
                      <c:pt idx="35">
                        <c:v>1369</c:v>
                      </c:pt>
                      <c:pt idx="36">
                        <c:v>1444</c:v>
                      </c:pt>
                      <c:pt idx="37">
                        <c:v>1521</c:v>
                      </c:pt>
                      <c:pt idx="38">
                        <c:v>1600</c:v>
                      </c:pt>
                      <c:pt idx="39">
                        <c:v>1681</c:v>
                      </c:pt>
                      <c:pt idx="40">
                        <c:v>1764</c:v>
                      </c:pt>
                      <c:pt idx="41">
                        <c:v>1849</c:v>
                      </c:pt>
                      <c:pt idx="42">
                        <c:v>1936</c:v>
                      </c:pt>
                      <c:pt idx="43">
                        <c:v>2025</c:v>
                      </c:pt>
                      <c:pt idx="44">
                        <c:v>2116</c:v>
                      </c:pt>
                      <c:pt idx="45">
                        <c:v>2209</c:v>
                      </c:pt>
                      <c:pt idx="46">
                        <c:v>2304</c:v>
                      </c:pt>
                      <c:pt idx="47">
                        <c:v>2401</c:v>
                      </c:pt>
                      <c:pt idx="48">
                        <c:v>2500</c:v>
                      </c:pt>
                      <c:pt idx="49">
                        <c:v>2601</c:v>
                      </c:pt>
                      <c:pt idx="50">
                        <c:v>2704</c:v>
                      </c:pt>
                      <c:pt idx="51">
                        <c:v>2809</c:v>
                      </c:pt>
                      <c:pt idx="52">
                        <c:v>2916</c:v>
                      </c:pt>
                      <c:pt idx="53">
                        <c:v>3025</c:v>
                      </c:pt>
                      <c:pt idx="54">
                        <c:v>3136</c:v>
                      </c:pt>
                      <c:pt idx="55">
                        <c:v>3249</c:v>
                      </c:pt>
                      <c:pt idx="56">
                        <c:v>3364</c:v>
                      </c:pt>
                      <c:pt idx="57">
                        <c:v>3481</c:v>
                      </c:pt>
                      <c:pt idx="58">
                        <c:v>3600</c:v>
                      </c:pt>
                      <c:pt idx="59">
                        <c:v>3721</c:v>
                      </c:pt>
                      <c:pt idx="60">
                        <c:v>3844</c:v>
                      </c:pt>
                      <c:pt idx="61">
                        <c:v>3969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D53-4D70-B3C0-5E778530E199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t.kwadratowy!$H$1</c15:sqref>
                        </c15:formulaRef>
                      </c:ext>
                    </c:extLst>
                    <c:strCache>
                      <c:ptCount val="1"/>
                      <c:pt idx="0">
                        <c:v>gva-trend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t.kwadratowy!$A$2:$A$63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t.kwadratowy!$H$2:$H$63</c15:sqref>
                        </c15:formulaRef>
                      </c:ext>
                    </c:extLst>
                    <c:numCache>
                      <c:formatCode>0.0</c:formatCode>
                      <c:ptCount val="62"/>
                      <c:pt idx="0">
                        <c:v>-394.69630376264104</c:v>
                      </c:pt>
                      <c:pt idx="1">
                        <c:v>1786.7617245544243</c:v>
                      </c:pt>
                      <c:pt idx="2">
                        <c:v>1470.0659411127926</c:v>
                      </c:pt>
                      <c:pt idx="3">
                        <c:v>3563.1163459124436</c:v>
                      </c:pt>
                      <c:pt idx="4">
                        <c:v>-2722.8870610466111</c:v>
                      </c:pt>
                      <c:pt idx="5">
                        <c:v>538.65572023563436</c:v>
                      </c:pt>
                      <c:pt idx="6">
                        <c:v>897.14468975916679</c:v>
                      </c:pt>
                      <c:pt idx="7">
                        <c:v>454.27984752399789</c:v>
                      </c:pt>
                      <c:pt idx="8">
                        <c:v>-4134.2388064698825</c:v>
                      </c:pt>
                      <c:pt idx="9">
                        <c:v>-1411.5112722224585</c:v>
                      </c:pt>
                      <c:pt idx="10">
                        <c:v>-324.43754973374598</c:v>
                      </c:pt>
                      <c:pt idx="11">
                        <c:v>123.1823609962521</c:v>
                      </c:pt>
                      <c:pt idx="12">
                        <c:v>-4282.5515400324512</c:v>
                      </c:pt>
                      <c:pt idx="13">
                        <c:v>-867.23925281986158</c:v>
                      </c:pt>
                      <c:pt idx="14">
                        <c:v>553.71922263402666</c:v>
                      </c:pt>
                      <c:pt idx="15">
                        <c:v>621.52388632920338</c:v>
                      </c:pt>
                      <c:pt idx="16">
                        <c:v>-3221.3252617343169</c:v>
                      </c:pt>
                      <c:pt idx="17">
                        <c:v>-378.32822155654867</c:v>
                      </c:pt>
                      <c:pt idx="18">
                        <c:v>1504.7150068625197</c:v>
                      </c:pt>
                      <c:pt idx="19">
                        <c:v>1500.5044235228706</c:v>
                      </c:pt>
                      <c:pt idx="20">
                        <c:v>-2035.3599715754826</c:v>
                      </c:pt>
                      <c:pt idx="21">
                        <c:v>639.12182156745985</c:v>
                      </c:pt>
                      <c:pt idx="22">
                        <c:v>1707.4498029516981</c:v>
                      </c:pt>
                      <c:pt idx="23">
                        <c:v>2416.3239725772291</c:v>
                      </c:pt>
                      <c:pt idx="24">
                        <c:v>-2396.0556695559426</c:v>
                      </c:pt>
                      <c:pt idx="25">
                        <c:v>399.41087655217416</c:v>
                      </c:pt>
                      <c:pt idx="26">
                        <c:v>2258.6236109015881</c:v>
                      </c:pt>
                      <c:pt idx="27">
                        <c:v>1673.582533492292</c:v>
                      </c:pt>
                      <c:pt idx="28">
                        <c:v>-1439.8123556757055</c:v>
                      </c:pt>
                      <c:pt idx="29">
                        <c:v>1062.038943397587</c:v>
                      </c:pt>
                      <c:pt idx="30">
                        <c:v>3756.3364307121738</c:v>
                      </c:pt>
                      <c:pt idx="31">
                        <c:v>1373.3801062680577</c:v>
                      </c:pt>
                      <c:pt idx="32">
                        <c:v>-1676.2300299347698</c:v>
                      </c:pt>
                      <c:pt idx="33">
                        <c:v>1312.5060221036983</c:v>
                      </c:pt>
                      <c:pt idx="34">
                        <c:v>3674.9882623834637</c:v>
                      </c:pt>
                      <c:pt idx="35">
                        <c:v>1419.5166909045147</c:v>
                      </c:pt>
                      <c:pt idx="36">
                        <c:v>-1931.5086923331328</c:v>
                      </c:pt>
                      <c:pt idx="37">
                        <c:v>1648.3121126705155</c:v>
                      </c:pt>
                      <c:pt idx="38">
                        <c:v>4347.7791059154551</c:v>
                      </c:pt>
                      <c:pt idx="39">
                        <c:v>966.69228740168182</c:v>
                      </c:pt>
                      <c:pt idx="40">
                        <c:v>-3460.7483428707856</c:v>
                      </c:pt>
                      <c:pt idx="41">
                        <c:v>-5777.1427849019674</c:v>
                      </c:pt>
                      <c:pt idx="42">
                        <c:v>-1522.9910386918491</c:v>
                      </c:pt>
                      <c:pt idx="43">
                        <c:v>-3424.7931042404525</c:v>
                      </c:pt>
                      <c:pt idx="44">
                        <c:v>-5974.4489815477427</c:v>
                      </c:pt>
                      <c:pt idx="45">
                        <c:v>-2966.8586706137576</c:v>
                      </c:pt>
                      <c:pt idx="46">
                        <c:v>1504.8778285615408</c:v>
                      </c:pt>
                      <c:pt idx="47">
                        <c:v>-614.23948402188398</c:v>
                      </c:pt>
                      <c:pt idx="48">
                        <c:v>-3239.7106083640028</c:v>
                      </c:pt>
                      <c:pt idx="49">
                        <c:v>536.76445553516533</c:v>
                      </c:pt>
                      <c:pt idx="50">
                        <c:v>5401.6857076756351</c:v>
                      </c:pt>
                      <c:pt idx="51">
                        <c:v>2076.3531480573947</c:v>
                      </c:pt>
                      <c:pt idx="52">
                        <c:v>-2221.8332233195542</c:v>
                      </c:pt>
                      <c:pt idx="53">
                        <c:v>1378.9265935447911</c:v>
                      </c:pt>
                      <c:pt idx="54">
                        <c:v>5543.1325986504307</c:v>
                      </c:pt>
                      <c:pt idx="55">
                        <c:v>1703.2847919973647</c:v>
                      </c:pt>
                      <c:pt idx="56">
                        <c:v>-3646.6168264144071</c:v>
                      </c:pt>
                      <c:pt idx="57">
                        <c:v>584.52774341511395</c:v>
                      </c:pt>
                      <c:pt idx="58">
                        <c:v>4755.0185014859308</c:v>
                      </c:pt>
                      <c:pt idx="59">
                        <c:v>688.45544779803458</c:v>
                      </c:pt>
                      <c:pt idx="60">
                        <c:v>-5298.3614176485571</c:v>
                      </c:pt>
                      <c:pt idx="61">
                        <c:v>-478.8320948538676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D53-4D70-B3C0-5E778530E199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t.kwadratowy!$I$1</c15:sqref>
                        </c15:formulaRef>
                      </c:ext>
                    </c:extLst>
                    <c:strCache>
                      <c:ptCount val="1"/>
                      <c:pt idx="0">
                        <c:v>(gva-trend)^2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t.kwadratowy!$A$2:$A$63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t.kwadratowy!$I$2:$I$63</c15:sqref>
                        </c15:formulaRef>
                      </c:ext>
                    </c:extLst>
                    <c:numCache>
                      <c:formatCode>0.0</c:formatCode>
                      <c:ptCount val="62"/>
                      <c:pt idx="0">
                        <c:v>155785.17220389101</c:v>
                      </c:pt>
                      <c:pt idx="1">
                        <c:v>3192517.4603327005</c:v>
                      </c:pt>
                      <c:pt idx="2">
                        <c:v>2161093.8712198408</c:v>
                      </c:pt>
                      <c:pt idx="3">
                        <c:v>12695798.094508445</c:v>
                      </c:pt>
                      <c:pt idx="4">
                        <c:v>7414113.9472150514</c:v>
                      </c:pt>
                      <c:pt idx="5">
                        <c:v>290149.98494256998</c:v>
                      </c:pt>
                      <c:pt idx="6">
                        <c:v>804868.59436307161</c:v>
                      </c:pt>
                      <c:pt idx="7">
                        <c:v>206370.17986642677</c:v>
                      </c:pt>
                      <c:pt idx="8">
                        <c:v>17091930.508921519</c:v>
                      </c:pt>
                      <c:pt idx="9">
                        <c:v>1992364.0716110633</c:v>
                      </c:pt>
                      <c:pt idx="10">
                        <c:v>105259.72367723689</c:v>
                      </c:pt>
                      <c:pt idx="11">
                        <c:v>15173.89406061097</c:v>
                      </c:pt>
                      <c:pt idx="12">
                        <c:v>18340247.693034317</c:v>
                      </c:pt>
                      <c:pt idx="13">
                        <c:v>752103.92163155181</c:v>
                      </c:pt>
                      <c:pt idx="14">
                        <c:v>306604.97751443076</c:v>
                      </c:pt>
                      <c:pt idx="15">
                        <c:v>386291.94127775653</c:v>
                      </c:pt>
                      <c:pt idx="16">
                        <c:v>10376936.441887666</c:v>
                      </c:pt>
                      <c:pt idx="17">
                        <c:v>143132.24322614097</c:v>
                      </c:pt>
                      <c:pt idx="18">
                        <c:v>2264167.2518772725</c:v>
                      </c:pt>
                      <c:pt idx="19">
                        <c:v>2251513.5250117024</c:v>
                      </c:pt>
                      <c:pt idx="20">
                        <c:v>4142690.2138917493</c:v>
                      </c:pt>
                      <c:pt idx="21">
                        <c:v>408476.70280370797</c:v>
                      </c:pt>
                      <c:pt idx="22">
                        <c:v>2915384.8295997926</c:v>
                      </c:pt>
                      <c:pt idx="23">
                        <c:v>5838621.5404514018</c:v>
                      </c:pt>
                      <c:pt idx="24">
                        <c:v>5741082.7716111764</c:v>
                      </c:pt>
                      <c:pt idx="25">
                        <c:v>159529.0483081761</c:v>
                      </c:pt>
                      <c:pt idx="26">
                        <c:v>5101380.6157221282</c:v>
                      </c:pt>
                      <c:pt idx="27">
                        <c:v>2800878.4964104788</c:v>
                      </c:pt>
                      <c:pt idx="28">
                        <c:v>2073059.6195564242</c:v>
                      </c:pt>
                      <c:pt idx="29">
                        <c:v>1127926.7172930629</c:v>
                      </c:pt>
                      <c:pt idx="30">
                        <c:v>14110063.380695473</c:v>
                      </c:pt>
                      <c:pt idx="31">
                        <c:v>1886172.9162928616</c:v>
                      </c:pt>
                      <c:pt idx="32">
                        <c:v>2809747.1132551194</c:v>
                      </c:pt>
                      <c:pt idx="33">
                        <c:v>1722672.058058474</c:v>
                      </c:pt>
                      <c:pt idx="34">
                        <c:v>13505538.72865623</c:v>
                      </c:pt>
                      <c:pt idx="35">
                        <c:v>2015027.6357565036</c:v>
                      </c:pt>
                      <c:pt idx="36">
                        <c:v>3730725.8285584487</c:v>
                      </c:pt>
                      <c:pt idx="37">
                        <c:v>2716932.8207763382</c:v>
                      </c:pt>
                      <c:pt idx="38">
                        <c:v>18903183.153834995</c:v>
                      </c:pt>
                      <c:pt idx="39">
                        <c:v>934493.97852189583</c:v>
                      </c:pt>
                      <c:pt idx="40">
                        <c:v>11976779.092682889</c:v>
                      </c:pt>
                      <c:pt idx="41">
                        <c:v>33375378.757144861</c:v>
                      </c:pt>
                      <c:pt idx="42">
                        <c:v>2319501.7039356772</c:v>
                      </c:pt>
                      <c:pt idx="43">
                        <c:v>11729207.806852955</c:v>
                      </c:pt>
                      <c:pt idx="44">
                        <c:v>35694040.633116864</c:v>
                      </c:pt>
                      <c:pt idx="45">
                        <c:v>8802250.3713960331</c:v>
                      </c:pt>
                      <c:pt idx="46">
                        <c:v>2264657.278896098</c:v>
                      </c:pt>
                      <c:pt idx="47">
                        <c:v>377290.14373147028</c:v>
                      </c:pt>
                      <c:pt idx="48">
                        <c:v>10495724.825946257</c:v>
                      </c:pt>
                      <c:pt idx="49">
                        <c:v>288116.08072596247</c:v>
                      </c:pt>
                      <c:pt idx="50">
                        <c:v>29178208.484507225</c:v>
                      </c:pt>
                      <c:pt idx="51">
                        <c:v>4311242.395447853</c:v>
                      </c:pt>
                      <c:pt idx="52">
                        <c:v>4936542.8722465597</c:v>
                      </c:pt>
                      <c:pt idx="53">
                        <c:v>1901438.5503850416</c:v>
                      </c:pt>
                      <c:pt idx="54">
                        <c:v>30726319.006221078</c:v>
                      </c:pt>
                      <c:pt idx="55">
                        <c:v>2901179.0826495057</c:v>
                      </c:pt>
                      <c:pt idx="56">
                        <c:v>13297814.278688682</c:v>
                      </c:pt>
                      <c:pt idx="57">
                        <c:v>341672.68282196531</c:v>
                      </c:pt>
                      <c:pt idx="58">
                        <c:v>22610200.949473508</c:v>
                      </c:pt>
                      <c:pt idx="59">
                        <c:v>473970.9036027923</c:v>
                      </c:pt>
                      <c:pt idx="60">
                        <c:v>28072633.712026827</c:v>
                      </c:pt>
                      <c:pt idx="61">
                        <c:v>229280.17506214327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D53-4D70-B3C0-5E778530E199}"/>
                  </c:ext>
                </c:extLst>
              </c15:ser>
            </c15:filteredLineSeries>
          </c:ext>
        </c:extLst>
      </c:lineChart>
      <c:catAx>
        <c:axId val="61919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619186848"/>
        <c:crosses val="autoZero"/>
        <c:auto val="1"/>
        <c:lblAlgn val="ctr"/>
        <c:lblOffset val="700"/>
        <c:noMultiLvlLbl val="0"/>
      </c:catAx>
      <c:valAx>
        <c:axId val="61918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619199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t.logistyczny!$B$1</c:f>
              <c:strCache>
                <c:ptCount val="1"/>
                <c:pt idx="0">
                  <c:v>GVA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t.logistyczny!$A$2:$A$63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t.logistyczny!$B$2:$B$63</c:f>
              <c:numCache>
                <c:formatCode>#\ ##0.0</c:formatCode>
                <c:ptCount val="62"/>
                <c:pt idx="0">
                  <c:v>48489.7</c:v>
                </c:pt>
                <c:pt idx="1">
                  <c:v>49856.6</c:v>
                </c:pt>
                <c:pt idx="2">
                  <c:v>48755.4</c:v>
                </c:pt>
                <c:pt idx="3">
                  <c:v>50094</c:v>
                </c:pt>
                <c:pt idx="4">
                  <c:v>43083.6</c:v>
                </c:pt>
                <c:pt idx="5">
                  <c:v>45650.8</c:v>
                </c:pt>
                <c:pt idx="6">
                  <c:v>45345</c:v>
                </c:pt>
                <c:pt idx="7">
                  <c:v>44267.9</c:v>
                </c:pt>
                <c:pt idx="8">
                  <c:v>39075.199999999997</c:v>
                </c:pt>
                <c:pt idx="9">
                  <c:v>41223.800000000003</c:v>
                </c:pt>
                <c:pt idx="10">
                  <c:v>41766.800000000003</c:v>
                </c:pt>
                <c:pt idx="11">
                  <c:v>41700.400000000001</c:v>
                </c:pt>
                <c:pt idx="12">
                  <c:v>36810.699999999997</c:v>
                </c:pt>
                <c:pt idx="13">
                  <c:v>39772.1</c:v>
                </c:pt>
                <c:pt idx="14">
                  <c:v>40769.199999999997</c:v>
                </c:pt>
                <c:pt idx="15">
                  <c:v>40443.199999999997</c:v>
                </c:pt>
                <c:pt idx="16">
                  <c:v>36236.6</c:v>
                </c:pt>
                <c:pt idx="17">
                  <c:v>38745.9</c:v>
                </c:pt>
                <c:pt idx="18">
                  <c:v>40325.300000000003</c:v>
                </c:pt>
                <c:pt idx="19">
                  <c:v>40047.5</c:v>
                </c:pt>
                <c:pt idx="20">
                  <c:v>36268.1</c:v>
                </c:pt>
                <c:pt idx="21">
                  <c:v>38729.1</c:v>
                </c:pt>
                <c:pt idx="22">
                  <c:v>39614</c:v>
                </c:pt>
                <c:pt idx="23">
                  <c:v>40169.5</c:v>
                </c:pt>
                <c:pt idx="24">
                  <c:v>35233.800000000003</c:v>
                </c:pt>
                <c:pt idx="25">
                  <c:v>37936</c:v>
                </c:pt>
                <c:pt idx="26">
                  <c:v>39732</c:v>
                </c:pt>
                <c:pt idx="27">
                  <c:v>39113.800000000003</c:v>
                </c:pt>
                <c:pt idx="28">
                  <c:v>35997.300000000003</c:v>
                </c:pt>
                <c:pt idx="29">
                  <c:v>38526.1</c:v>
                </c:pt>
                <c:pt idx="30">
                  <c:v>41277.4</c:v>
                </c:pt>
                <c:pt idx="31">
                  <c:v>38981.5</c:v>
                </c:pt>
                <c:pt idx="32">
                  <c:v>36049</c:v>
                </c:pt>
                <c:pt idx="33">
                  <c:v>39184.9</c:v>
                </c:pt>
                <c:pt idx="34">
                  <c:v>41724.6</c:v>
                </c:pt>
                <c:pt idx="35">
                  <c:v>39676.400000000001</c:v>
                </c:pt>
                <c:pt idx="36">
                  <c:v>36562.699999999997</c:v>
                </c:pt>
                <c:pt idx="37">
                  <c:v>40409.9</c:v>
                </c:pt>
                <c:pt idx="38">
                  <c:v>43406.8</c:v>
                </c:pt>
                <c:pt idx="39">
                  <c:v>40353.199999999997</c:v>
                </c:pt>
                <c:pt idx="40">
                  <c:v>36283.300000000003</c:v>
                </c:pt>
                <c:pt idx="41">
                  <c:v>34354.5</c:v>
                </c:pt>
                <c:pt idx="42">
                  <c:v>39026.300000000003</c:v>
                </c:pt>
                <c:pt idx="43">
                  <c:v>37572.199999999997</c:v>
                </c:pt>
                <c:pt idx="44">
                  <c:v>35500.300000000003</c:v>
                </c:pt>
                <c:pt idx="45">
                  <c:v>39015.699999999997</c:v>
                </c:pt>
                <c:pt idx="46">
                  <c:v>44025.3</c:v>
                </c:pt>
                <c:pt idx="47">
                  <c:v>42474.1</c:v>
                </c:pt>
                <c:pt idx="48">
                  <c:v>40446.6</c:v>
                </c:pt>
                <c:pt idx="49">
                  <c:v>44851.1</c:v>
                </c:pt>
                <c:pt idx="50">
                  <c:v>50374.1</c:v>
                </c:pt>
                <c:pt idx="51">
                  <c:v>47736.9</c:v>
                </c:pt>
                <c:pt idx="52">
                  <c:v>44156.9</c:v>
                </c:pt>
                <c:pt idx="53">
                  <c:v>48505.9</c:v>
                </c:pt>
                <c:pt idx="54">
                  <c:v>53448.4</c:v>
                </c:pt>
                <c:pt idx="55">
                  <c:v>50416.9</c:v>
                </c:pt>
                <c:pt idx="56">
                  <c:v>45905.4</c:v>
                </c:pt>
                <c:pt idx="57">
                  <c:v>51005</c:v>
                </c:pt>
                <c:pt idx="58">
                  <c:v>56074</c:v>
                </c:pt>
                <c:pt idx="59">
                  <c:v>52936</c:v>
                </c:pt>
                <c:pt idx="60">
                  <c:v>47907.8</c:v>
                </c:pt>
                <c:pt idx="61">
                  <c:v>53716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47-400D-8427-0C6A58F8CAE8}"/>
            </c:ext>
          </c:extLst>
        </c:ser>
        <c:ser>
          <c:idx val="5"/>
          <c:order val="5"/>
          <c:tx>
            <c:strRef>
              <c:f>t.logistyczny!$G$1</c:f>
              <c:strCache>
                <c:ptCount val="1"/>
                <c:pt idx="0">
                  <c:v>y^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t.logistyczny!$A$2:$A$63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t.logistyczny!$G$2:$G$63</c:f>
              <c:numCache>
                <c:formatCode>General</c:formatCode>
                <c:ptCount val="62"/>
                <c:pt idx="0">
                  <c:v>39713.895662213916</c:v>
                </c:pt>
                <c:pt idx="1">
                  <c:v>39800.688980662344</c:v>
                </c:pt>
                <c:pt idx="2">
                  <c:v>39887.503970637546</c:v>
                </c:pt>
                <c:pt idx="3">
                  <c:v>39974.339905927147</c:v>
                </c:pt>
                <c:pt idx="4">
                  <c:v>40061.196059614042</c:v>
                </c:pt>
                <c:pt idx="5">
                  <c:v>40148.071704100585</c:v>
                </c:pt>
                <c:pt idx="6">
                  <c:v>40234.966111132853</c:v>
                </c:pt>
                <c:pt idx="7">
                  <c:v>40321.878551825001</c:v>
                </c:pt>
                <c:pt idx="8">
                  <c:v>40408.808296683557</c:v>
                </c:pt>
                <c:pt idx="9">
                  <c:v>40495.754615631864</c:v>
                </c:pt>
                <c:pt idx="10">
                  <c:v>40582.716778034526</c:v>
                </c:pt>
                <c:pt idx="11">
                  <c:v>40669.694052721854</c:v>
                </c:pt>
                <c:pt idx="12">
                  <c:v>40756.685708014411</c:v>
                </c:pt>
                <c:pt idx="13">
                  <c:v>40843.691011747585</c:v>
                </c:pt>
                <c:pt idx="14">
                  <c:v>40930.709231296125</c:v>
                </c:pt>
                <c:pt idx="15">
                  <c:v>41017.739633598852</c:v>
                </c:pt>
                <c:pt idx="16">
                  <c:v>41104.781485183208</c:v>
                </c:pt>
                <c:pt idx="17">
                  <c:v>41191.834052190039</c:v>
                </c:pt>
                <c:pt idx="18">
                  <c:v>41278.89660039825</c:v>
                </c:pt>
                <c:pt idx="19">
                  <c:v>41365.96839524954</c:v>
                </c:pt>
                <c:pt idx="20">
                  <c:v>41453.048701873238</c:v>
                </c:pt>
                <c:pt idx="21">
                  <c:v>41540.13678511099</c:v>
                </c:pt>
                <c:pt idx="22">
                  <c:v>41627.231909541624</c:v>
                </c:pt>
                <c:pt idx="23">
                  <c:v>41714.333339505967</c:v>
                </c:pt>
                <c:pt idx="24">
                  <c:v>41801.440339131681</c:v>
                </c:pt>
                <c:pt idx="25">
                  <c:v>41888.552172358119</c:v>
                </c:pt>
                <c:pt idx="26">
                  <c:v>41975.668102961201</c:v>
                </c:pt>
                <c:pt idx="27">
                  <c:v>42062.787394578292</c:v>
                </c:pt>
                <c:pt idx="28">
                  <c:v>42149.909310733106</c:v>
                </c:pt>
                <c:pt idx="29">
                  <c:v>42237.033114860584</c:v>
                </c:pt>
                <c:pt idx="30">
                  <c:v>42324.158070331825</c:v>
                </c:pt>
                <c:pt idx="31">
                  <c:v>42411.28344047899</c:v>
                </c:pt>
                <c:pt idx="32">
                  <c:v>42498.408488620211</c:v>
                </c:pt>
                <c:pt idx="33">
                  <c:v>42585.532478084511</c:v>
                </c:pt>
                <c:pt idx="34">
                  <c:v>42672.654672236713</c:v>
                </c:pt>
                <c:pt idx="35">
                  <c:v>42759.774334502385</c:v>
                </c:pt>
                <c:pt idx="36">
                  <c:v>42846.890728392667</c:v>
                </c:pt>
                <c:pt idx="37">
                  <c:v>42934.00311752929</c:v>
                </c:pt>
                <c:pt idx="38">
                  <c:v>43021.110765669364</c:v>
                </c:pt>
                <c:pt idx="39">
                  <c:v>43108.212936730313</c:v>
                </c:pt>
                <c:pt idx="40">
                  <c:v>43195.308894814749</c:v>
                </c:pt>
                <c:pt idx="41">
                  <c:v>43282.397904235309</c:v>
                </c:pt>
                <c:pt idx="42">
                  <c:v>43369.479229539524</c:v>
                </c:pt>
                <c:pt idx="43">
                  <c:v>43456.552135534621</c:v>
                </c:pt>
                <c:pt idx="44">
                  <c:v>43543.615887312357</c:v>
                </c:pt>
                <c:pt idx="45">
                  <c:v>43630.669750273788</c:v>
                </c:pt>
                <c:pt idx="46">
                  <c:v>43717.712990154039</c:v>
                </c:pt>
                <c:pt idx="47">
                  <c:v>43804.744873047057</c:v>
                </c:pt>
                <c:pt idx="48">
                  <c:v>43891.764665430324</c:v>
                </c:pt>
                <c:pt idx="49">
                  <c:v>43978.771634189521</c:v>
                </c:pt>
                <c:pt idx="50">
                  <c:v>44065.765046643224</c:v>
                </c:pt>
                <c:pt idx="51">
                  <c:v>44152.744170567516</c:v>
                </c:pt>
                <c:pt idx="52">
                  <c:v>44239.708274220575</c:v>
                </c:pt>
                <c:pt idx="53">
                  <c:v>44326.65662636725</c:v>
                </c:pt>
                <c:pt idx="54">
                  <c:v>44413.588496303571</c:v>
                </c:pt>
                <c:pt idx="55">
                  <c:v>44500.503153881262</c:v>
                </c:pt>
                <c:pt idx="56">
                  <c:v>44587.399869532157</c:v>
                </c:pt>
                <c:pt idx="57">
                  <c:v>44674.277914292608</c:v>
                </c:pt>
                <c:pt idx="58">
                  <c:v>44761.136559827886</c:v>
                </c:pt>
                <c:pt idx="59">
                  <c:v>44847.975078456438</c:v>
                </c:pt>
                <c:pt idx="60">
                  <c:v>44934.792743174236</c:v>
                </c:pt>
                <c:pt idx="61">
                  <c:v>45021.588827678897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B47-400D-8427-0C6A58F8CAE8}"/>
            </c:ext>
          </c:extLst>
        </c:ser>
        <c:ser>
          <c:idx val="8"/>
          <c:order val="8"/>
          <c:tx>
            <c:strRef>
              <c:f>t.logistyczny!$J$1</c:f>
              <c:strCache>
                <c:ptCount val="1"/>
                <c:pt idx="0">
                  <c:v>Przyrost kwartalny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t.logistyczny!$A$2:$A$63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t.logistyczny!$J$2:$J$63</c:f>
              <c:numCache>
                <c:formatCode>General</c:formatCode>
                <c:ptCount val="62"/>
                <c:pt idx="1">
                  <c:v>1366.9000000000015</c:v>
                </c:pt>
                <c:pt idx="2">
                  <c:v>-1101.1999999999971</c:v>
                </c:pt>
                <c:pt idx="3">
                  <c:v>1338.5999999999985</c:v>
                </c:pt>
                <c:pt idx="4">
                  <c:v>-7010.4000000000015</c:v>
                </c:pt>
                <c:pt idx="5">
                  <c:v>2567.2000000000044</c:v>
                </c:pt>
                <c:pt idx="6">
                  <c:v>-305.80000000000291</c:v>
                </c:pt>
                <c:pt idx="7">
                  <c:v>-1077.0999999999985</c:v>
                </c:pt>
                <c:pt idx="8">
                  <c:v>-5192.7000000000044</c:v>
                </c:pt>
                <c:pt idx="9">
                  <c:v>2148.6000000000058</c:v>
                </c:pt>
                <c:pt idx="10">
                  <c:v>543</c:v>
                </c:pt>
                <c:pt idx="11">
                  <c:v>-66.400000000001455</c:v>
                </c:pt>
                <c:pt idx="12">
                  <c:v>-4889.7000000000044</c:v>
                </c:pt>
                <c:pt idx="13">
                  <c:v>2961.4000000000015</c:v>
                </c:pt>
                <c:pt idx="14">
                  <c:v>997.09999999999854</c:v>
                </c:pt>
                <c:pt idx="15">
                  <c:v>-326</c:v>
                </c:pt>
                <c:pt idx="16">
                  <c:v>-4206.5999999999985</c:v>
                </c:pt>
                <c:pt idx="17">
                  <c:v>2509.3000000000029</c:v>
                </c:pt>
                <c:pt idx="18">
                  <c:v>1579.4000000000015</c:v>
                </c:pt>
                <c:pt idx="19">
                  <c:v>-277.80000000000291</c:v>
                </c:pt>
                <c:pt idx="20">
                  <c:v>-3779.4000000000015</c:v>
                </c:pt>
                <c:pt idx="21">
                  <c:v>2461</c:v>
                </c:pt>
                <c:pt idx="22">
                  <c:v>884.90000000000146</c:v>
                </c:pt>
                <c:pt idx="23">
                  <c:v>555.5</c:v>
                </c:pt>
                <c:pt idx="24">
                  <c:v>-4935.6999999999971</c:v>
                </c:pt>
                <c:pt idx="25">
                  <c:v>2702.1999999999971</c:v>
                </c:pt>
                <c:pt idx="26">
                  <c:v>1796</c:v>
                </c:pt>
                <c:pt idx="27">
                  <c:v>-618.19999999999709</c:v>
                </c:pt>
                <c:pt idx="28">
                  <c:v>-3116.5</c:v>
                </c:pt>
                <c:pt idx="29">
                  <c:v>2528.7999999999956</c:v>
                </c:pt>
                <c:pt idx="30">
                  <c:v>2751.3000000000029</c:v>
                </c:pt>
                <c:pt idx="31">
                  <c:v>-2295.9000000000015</c:v>
                </c:pt>
                <c:pt idx="32">
                  <c:v>-2932.5</c:v>
                </c:pt>
                <c:pt idx="33">
                  <c:v>3135.9000000000015</c:v>
                </c:pt>
                <c:pt idx="34">
                  <c:v>2539.6999999999971</c:v>
                </c:pt>
                <c:pt idx="35">
                  <c:v>-2048.1999999999971</c:v>
                </c:pt>
                <c:pt idx="36">
                  <c:v>-3113.7000000000044</c:v>
                </c:pt>
                <c:pt idx="37">
                  <c:v>3847.2000000000044</c:v>
                </c:pt>
                <c:pt idx="38">
                  <c:v>2996.9000000000015</c:v>
                </c:pt>
                <c:pt idx="39">
                  <c:v>-3053.6000000000058</c:v>
                </c:pt>
                <c:pt idx="40">
                  <c:v>-4069.8999999999942</c:v>
                </c:pt>
                <c:pt idx="41">
                  <c:v>-1928.8000000000029</c:v>
                </c:pt>
                <c:pt idx="42">
                  <c:v>4671.8000000000029</c:v>
                </c:pt>
                <c:pt idx="43">
                  <c:v>-1454.1000000000058</c:v>
                </c:pt>
                <c:pt idx="44">
                  <c:v>-2071.8999999999942</c:v>
                </c:pt>
                <c:pt idx="45">
                  <c:v>3515.3999999999942</c:v>
                </c:pt>
                <c:pt idx="46">
                  <c:v>5009.6000000000058</c:v>
                </c:pt>
                <c:pt idx="47">
                  <c:v>-1551.2000000000044</c:v>
                </c:pt>
                <c:pt idx="48">
                  <c:v>-2027.5</c:v>
                </c:pt>
                <c:pt idx="49">
                  <c:v>4404.5</c:v>
                </c:pt>
                <c:pt idx="50">
                  <c:v>5523</c:v>
                </c:pt>
                <c:pt idx="51">
                  <c:v>-2637.1999999999971</c:v>
                </c:pt>
                <c:pt idx="52">
                  <c:v>-3580</c:v>
                </c:pt>
                <c:pt idx="53">
                  <c:v>4349</c:v>
                </c:pt>
                <c:pt idx="54">
                  <c:v>4942.5</c:v>
                </c:pt>
                <c:pt idx="55">
                  <c:v>-3031.5</c:v>
                </c:pt>
                <c:pt idx="56">
                  <c:v>-4511.5</c:v>
                </c:pt>
                <c:pt idx="57">
                  <c:v>5099.5999999999985</c:v>
                </c:pt>
                <c:pt idx="58">
                  <c:v>5069</c:v>
                </c:pt>
                <c:pt idx="59">
                  <c:v>-3138</c:v>
                </c:pt>
                <c:pt idx="60">
                  <c:v>-5028.1999999999971</c:v>
                </c:pt>
                <c:pt idx="61">
                  <c:v>5808.1999999999971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B47-400D-8427-0C6A58F8CAE8}"/>
            </c:ext>
          </c:extLst>
        </c:ser>
        <c:ser>
          <c:idx val="9"/>
          <c:order val="9"/>
          <c:tx>
            <c:strRef>
              <c:f>t.logistyczny!$K$1</c:f>
              <c:strCache>
                <c:ptCount val="1"/>
                <c:pt idx="0">
                  <c:v>Wahania losowe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t.logistyczny!$A$2:$A$63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t.logistyczny!$K$2:$K$63</c:f>
              <c:numCache>
                <c:formatCode>0.00</c:formatCode>
                <c:ptCount val="62"/>
                <c:pt idx="1">
                  <c:v>-1562.7245833333318</c:v>
                </c:pt>
                <c:pt idx="2">
                  <c:v>-3590.0295833333312</c:v>
                </c:pt>
                <c:pt idx="3">
                  <c:v>2688.3237499999996</c:v>
                </c:pt>
                <c:pt idx="4">
                  <c:v>-2941.6695833333347</c:v>
                </c:pt>
                <c:pt idx="5">
                  <c:v>-362.42458333332888</c:v>
                </c:pt>
                <c:pt idx="6">
                  <c:v>-2794.629583333337</c:v>
                </c:pt>
                <c:pt idx="7">
                  <c:v>272.62375000000247</c:v>
                </c:pt>
                <c:pt idx="8">
                  <c:v>-1123.9695833333376</c:v>
                </c:pt>
                <c:pt idx="9">
                  <c:v>-781.02458333332743</c:v>
                </c:pt>
                <c:pt idx="10">
                  <c:v>-1945.8295833333341</c:v>
                </c:pt>
                <c:pt idx="11">
                  <c:v>1283.3237499999996</c:v>
                </c:pt>
                <c:pt idx="12">
                  <c:v>-820.9695833333376</c:v>
                </c:pt>
                <c:pt idx="13">
                  <c:v>31.775416666668207</c:v>
                </c:pt>
                <c:pt idx="14">
                  <c:v>-1491.7295833333355</c:v>
                </c:pt>
                <c:pt idx="15">
                  <c:v>1023.723750000001</c:v>
                </c:pt>
                <c:pt idx="16">
                  <c:v>-137.86958333333178</c:v>
                </c:pt>
                <c:pt idx="17">
                  <c:v>-420.32458333333034</c:v>
                </c:pt>
                <c:pt idx="18">
                  <c:v>-909.42958333333263</c:v>
                </c:pt>
                <c:pt idx="19">
                  <c:v>1071.9237499999981</c:v>
                </c:pt>
                <c:pt idx="20">
                  <c:v>289.33041666666531</c:v>
                </c:pt>
                <c:pt idx="21">
                  <c:v>-468.62458333333325</c:v>
                </c:pt>
                <c:pt idx="22">
                  <c:v>-1603.9295833333326</c:v>
                </c:pt>
                <c:pt idx="23">
                  <c:v>1905.223750000001</c:v>
                </c:pt>
                <c:pt idx="24">
                  <c:v>-866.96958333333032</c:v>
                </c:pt>
                <c:pt idx="25">
                  <c:v>-227.42458333333616</c:v>
                </c:pt>
                <c:pt idx="26">
                  <c:v>-692.82958333333409</c:v>
                </c:pt>
                <c:pt idx="27">
                  <c:v>731.52375000000393</c:v>
                </c:pt>
                <c:pt idx="28">
                  <c:v>952.23041666666677</c:v>
                </c:pt>
                <c:pt idx="29">
                  <c:v>-400.82458333333761</c:v>
                </c:pt>
                <c:pt idx="30">
                  <c:v>262.47041666666883</c:v>
                </c:pt>
                <c:pt idx="31">
                  <c:v>-946.17625000000044</c:v>
                </c:pt>
                <c:pt idx="32">
                  <c:v>1136.2304166666668</c:v>
                </c:pt>
                <c:pt idx="33">
                  <c:v>206.27541666666821</c:v>
                </c:pt>
                <c:pt idx="34">
                  <c:v>50.870416666663004</c:v>
                </c:pt>
                <c:pt idx="35">
                  <c:v>-698.47624999999607</c:v>
                </c:pt>
                <c:pt idx="36">
                  <c:v>955.0304166666624</c:v>
                </c:pt>
                <c:pt idx="37">
                  <c:v>917.57541666667112</c:v>
                </c:pt>
                <c:pt idx="38">
                  <c:v>508.07041666666737</c:v>
                </c:pt>
                <c:pt idx="39">
                  <c:v>-1703.8762500000048</c:v>
                </c:pt>
                <c:pt idx="40">
                  <c:v>-1.1695833333274095</c:v>
                </c:pt>
                <c:pt idx="41">
                  <c:v>-4858.4245833333362</c:v>
                </c:pt>
                <c:pt idx="42">
                  <c:v>2182.9704166666688</c:v>
                </c:pt>
                <c:pt idx="43">
                  <c:v>-104.3762500000048</c:v>
                </c:pt>
                <c:pt idx="44">
                  <c:v>1996.8304166666726</c:v>
                </c:pt>
                <c:pt idx="45">
                  <c:v>585.77541666666093</c:v>
                </c:pt>
                <c:pt idx="46">
                  <c:v>2520.7704166666717</c:v>
                </c:pt>
                <c:pt idx="47">
                  <c:v>-201.47625000000335</c:v>
                </c:pt>
                <c:pt idx="48">
                  <c:v>2041.2304166666668</c:v>
                </c:pt>
                <c:pt idx="49">
                  <c:v>1474.8754166666668</c:v>
                </c:pt>
                <c:pt idx="50">
                  <c:v>3034.1704166666659</c:v>
                </c:pt>
                <c:pt idx="51">
                  <c:v>-1287.4762499999961</c:v>
                </c:pt>
                <c:pt idx="52">
                  <c:v>488.73041666666677</c:v>
                </c:pt>
                <c:pt idx="53">
                  <c:v>1419.3754166666668</c:v>
                </c:pt>
                <c:pt idx="54">
                  <c:v>2453.6704166666659</c:v>
                </c:pt>
                <c:pt idx="55">
                  <c:v>-1681.776249999999</c:v>
                </c:pt>
                <c:pt idx="56">
                  <c:v>-442.76958333333323</c:v>
                </c:pt>
                <c:pt idx="57">
                  <c:v>2169.9754166666653</c:v>
                </c:pt>
                <c:pt idx="58">
                  <c:v>2580.1704166666659</c:v>
                </c:pt>
                <c:pt idx="59">
                  <c:v>-1788.276249999999</c:v>
                </c:pt>
                <c:pt idx="60">
                  <c:v>-959.46958333333032</c:v>
                </c:pt>
                <c:pt idx="61">
                  <c:v>2878.5754166666638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B47-400D-8427-0C6A58F8CA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0313824"/>
        <c:axId val="66031814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t.logistyczny!$C$1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t.logistyczny!$A$2:$A$63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t.logistyczny!$C$2:$C$63</c15:sqref>
                        </c15:formulaRef>
                      </c:ext>
                    </c:extLst>
                    <c:numCache>
                      <c:formatCode>General</c:formatCode>
                      <c:ptCount val="6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9B47-400D-8427-0C6A58F8CAE8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t.logistyczny!$D$1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t.logistyczny!$A$2:$A$63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t.logistyczny!$D$2:$D$63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</c:v>
                      </c:pt>
                      <c:pt idx="38">
                        <c:v>1</c:v>
                      </c:pt>
                      <c:pt idx="39">
                        <c:v>1</c:v>
                      </c:pt>
                      <c:pt idx="40">
                        <c:v>1</c:v>
                      </c:pt>
                      <c:pt idx="41">
                        <c:v>1</c:v>
                      </c:pt>
                      <c:pt idx="42">
                        <c:v>1</c:v>
                      </c:pt>
                      <c:pt idx="43">
                        <c:v>1</c:v>
                      </c:pt>
                      <c:pt idx="44">
                        <c:v>1</c:v>
                      </c:pt>
                      <c:pt idx="45">
                        <c:v>1</c:v>
                      </c:pt>
                      <c:pt idx="46">
                        <c:v>1</c:v>
                      </c:pt>
                      <c:pt idx="47">
                        <c:v>1</c:v>
                      </c:pt>
                      <c:pt idx="48">
                        <c:v>1</c:v>
                      </c:pt>
                      <c:pt idx="49">
                        <c:v>1</c:v>
                      </c:pt>
                      <c:pt idx="50">
                        <c:v>1</c:v>
                      </c:pt>
                      <c:pt idx="51">
                        <c:v>1</c:v>
                      </c:pt>
                      <c:pt idx="52">
                        <c:v>1</c:v>
                      </c:pt>
                      <c:pt idx="53">
                        <c:v>1</c:v>
                      </c:pt>
                      <c:pt idx="54">
                        <c:v>1</c:v>
                      </c:pt>
                      <c:pt idx="55">
                        <c:v>1</c:v>
                      </c:pt>
                      <c:pt idx="56">
                        <c:v>1</c:v>
                      </c:pt>
                      <c:pt idx="57">
                        <c:v>1</c:v>
                      </c:pt>
                      <c:pt idx="58">
                        <c:v>1</c:v>
                      </c:pt>
                      <c:pt idx="59">
                        <c:v>1</c:v>
                      </c:pt>
                      <c:pt idx="60">
                        <c:v>1</c:v>
                      </c:pt>
                      <c:pt idx="6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B47-400D-8427-0C6A58F8CAE8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t.logistyczny!$E$1</c15:sqref>
                        </c15:formulaRef>
                      </c:ext>
                    </c:extLst>
                    <c:strCache>
                      <c:ptCount val="1"/>
                      <c:pt idx="0">
                        <c:v>t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t.logistyczny!$A$2:$A$63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t.logistyczny!$E$2:$E$63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</c:v>
                      </c:pt>
                      <c:pt idx="1">
                        <c:v>3</c:v>
                      </c:pt>
                      <c:pt idx="2">
                        <c:v>4</c:v>
                      </c:pt>
                      <c:pt idx="3">
                        <c:v>5</c:v>
                      </c:pt>
                      <c:pt idx="4">
                        <c:v>6</c:v>
                      </c:pt>
                      <c:pt idx="5">
                        <c:v>7</c:v>
                      </c:pt>
                      <c:pt idx="6">
                        <c:v>8</c:v>
                      </c:pt>
                      <c:pt idx="7">
                        <c:v>9</c:v>
                      </c:pt>
                      <c:pt idx="8">
                        <c:v>10</c:v>
                      </c:pt>
                      <c:pt idx="9">
                        <c:v>11</c:v>
                      </c:pt>
                      <c:pt idx="10">
                        <c:v>12</c:v>
                      </c:pt>
                      <c:pt idx="11">
                        <c:v>13</c:v>
                      </c:pt>
                      <c:pt idx="12">
                        <c:v>14</c:v>
                      </c:pt>
                      <c:pt idx="13">
                        <c:v>15</c:v>
                      </c:pt>
                      <c:pt idx="14">
                        <c:v>16</c:v>
                      </c:pt>
                      <c:pt idx="15">
                        <c:v>17</c:v>
                      </c:pt>
                      <c:pt idx="16">
                        <c:v>18</c:v>
                      </c:pt>
                      <c:pt idx="17">
                        <c:v>19</c:v>
                      </c:pt>
                      <c:pt idx="18">
                        <c:v>20</c:v>
                      </c:pt>
                      <c:pt idx="19">
                        <c:v>21</c:v>
                      </c:pt>
                      <c:pt idx="20">
                        <c:v>22</c:v>
                      </c:pt>
                      <c:pt idx="21">
                        <c:v>23</c:v>
                      </c:pt>
                      <c:pt idx="22">
                        <c:v>24</c:v>
                      </c:pt>
                      <c:pt idx="23">
                        <c:v>25</c:v>
                      </c:pt>
                      <c:pt idx="24">
                        <c:v>26</c:v>
                      </c:pt>
                      <c:pt idx="25">
                        <c:v>27</c:v>
                      </c:pt>
                      <c:pt idx="26">
                        <c:v>28</c:v>
                      </c:pt>
                      <c:pt idx="27">
                        <c:v>29</c:v>
                      </c:pt>
                      <c:pt idx="28">
                        <c:v>30</c:v>
                      </c:pt>
                      <c:pt idx="29">
                        <c:v>31</c:v>
                      </c:pt>
                      <c:pt idx="30">
                        <c:v>32</c:v>
                      </c:pt>
                      <c:pt idx="31">
                        <c:v>33</c:v>
                      </c:pt>
                      <c:pt idx="32">
                        <c:v>34</c:v>
                      </c:pt>
                      <c:pt idx="33">
                        <c:v>35</c:v>
                      </c:pt>
                      <c:pt idx="34">
                        <c:v>36</c:v>
                      </c:pt>
                      <c:pt idx="35">
                        <c:v>37</c:v>
                      </c:pt>
                      <c:pt idx="36">
                        <c:v>38</c:v>
                      </c:pt>
                      <c:pt idx="37">
                        <c:v>39</c:v>
                      </c:pt>
                      <c:pt idx="38">
                        <c:v>40</c:v>
                      </c:pt>
                      <c:pt idx="39">
                        <c:v>41</c:v>
                      </c:pt>
                      <c:pt idx="40">
                        <c:v>42</c:v>
                      </c:pt>
                      <c:pt idx="41">
                        <c:v>43</c:v>
                      </c:pt>
                      <c:pt idx="42">
                        <c:v>44</c:v>
                      </c:pt>
                      <c:pt idx="43">
                        <c:v>45</c:v>
                      </c:pt>
                      <c:pt idx="44">
                        <c:v>46</c:v>
                      </c:pt>
                      <c:pt idx="45">
                        <c:v>47</c:v>
                      </c:pt>
                      <c:pt idx="46">
                        <c:v>48</c:v>
                      </c:pt>
                      <c:pt idx="47">
                        <c:v>49</c:v>
                      </c:pt>
                      <c:pt idx="48">
                        <c:v>50</c:v>
                      </c:pt>
                      <c:pt idx="49">
                        <c:v>51</c:v>
                      </c:pt>
                      <c:pt idx="50">
                        <c:v>52</c:v>
                      </c:pt>
                      <c:pt idx="51">
                        <c:v>53</c:v>
                      </c:pt>
                      <c:pt idx="52">
                        <c:v>54</c:v>
                      </c:pt>
                      <c:pt idx="53">
                        <c:v>55</c:v>
                      </c:pt>
                      <c:pt idx="54">
                        <c:v>56</c:v>
                      </c:pt>
                      <c:pt idx="55">
                        <c:v>57</c:v>
                      </c:pt>
                      <c:pt idx="56">
                        <c:v>58</c:v>
                      </c:pt>
                      <c:pt idx="57">
                        <c:v>59</c:v>
                      </c:pt>
                      <c:pt idx="58">
                        <c:v>60</c:v>
                      </c:pt>
                      <c:pt idx="59">
                        <c:v>61</c:v>
                      </c:pt>
                      <c:pt idx="60">
                        <c:v>62</c:v>
                      </c:pt>
                      <c:pt idx="61">
                        <c:v>63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B47-400D-8427-0C6A58F8CAE8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t.logistyczny!$F$1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t.logistyczny!$A$2:$A$63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t.logistyczny!$F$2:$F$63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 formatCode="#\ ##0.0">
                        <c:v>56074</c:v>
                      </c:pt>
                      <c:pt idx="1">
                        <c:v>0.15641053667067445</c:v>
                      </c:pt>
                      <c:pt idx="2">
                        <c:v>1.1133951758650494E-2</c:v>
                      </c:pt>
                      <c:pt idx="4">
                        <c:v>84746.401361029304</c:v>
                      </c:pt>
                      <c:pt idx="5">
                        <c:v>1.1432876446098548</c:v>
                      </c:pt>
                      <c:pt idx="6">
                        <c:v>4.1122879980884514E-3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B47-400D-8427-0C6A58F8CAE8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t.logistyczny!$H$1</c15:sqref>
                        </c15:formulaRef>
                      </c:ext>
                    </c:extLst>
                    <c:strCache>
                      <c:ptCount val="1"/>
                      <c:pt idx="0">
                        <c:v>gva-trend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t.logistyczny!$A$2:$A$63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t.logistyczny!$H$2:$H$63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8775.8043377860813</c:v>
                      </c:pt>
                      <c:pt idx="1">
                        <c:v>10055.911019337655</c:v>
                      </c:pt>
                      <c:pt idx="2">
                        <c:v>8867.896029362455</c:v>
                      </c:pt>
                      <c:pt idx="3">
                        <c:v>10119.660094072853</c:v>
                      </c:pt>
                      <c:pt idx="4">
                        <c:v>3022.403940385957</c:v>
                      </c:pt>
                      <c:pt idx="5">
                        <c:v>5502.7282958994183</c:v>
                      </c:pt>
                      <c:pt idx="6">
                        <c:v>5110.0338888671467</c:v>
                      </c:pt>
                      <c:pt idx="7">
                        <c:v>3946.0214481750008</c:v>
                      </c:pt>
                      <c:pt idx="8">
                        <c:v>-1333.6082966835602</c:v>
                      </c:pt>
                      <c:pt idx="9">
                        <c:v>728.04538436813891</c:v>
                      </c:pt>
                      <c:pt idx="10">
                        <c:v>1184.0832219654767</c:v>
                      </c:pt>
                      <c:pt idx="11">
                        <c:v>1030.7059472781475</c:v>
                      </c:pt>
                      <c:pt idx="12">
                        <c:v>-3945.9857080144138</c:v>
                      </c:pt>
                      <c:pt idx="13">
                        <c:v>-1071.5910117475869</c:v>
                      </c:pt>
                      <c:pt idx="14">
                        <c:v>-161.50923129612784</c:v>
                      </c:pt>
                      <c:pt idx="15">
                        <c:v>-574.53963359885529</c:v>
                      </c:pt>
                      <c:pt idx="16">
                        <c:v>-4868.1814851832096</c:v>
                      </c:pt>
                      <c:pt idx="17">
                        <c:v>-2445.9340521900376</c:v>
                      </c:pt>
                      <c:pt idx="18">
                        <c:v>-953.59660039824666</c:v>
                      </c:pt>
                      <c:pt idx="19">
                        <c:v>-1318.4683952495398</c:v>
                      </c:pt>
                      <c:pt idx="20">
                        <c:v>-5184.9487018732398</c:v>
                      </c:pt>
                      <c:pt idx="21">
                        <c:v>-2811.0367851109913</c:v>
                      </c:pt>
                      <c:pt idx="22">
                        <c:v>-2013.2319095416242</c:v>
                      </c:pt>
                      <c:pt idx="23">
                        <c:v>-1544.8333395059672</c:v>
                      </c:pt>
                      <c:pt idx="24">
                        <c:v>-6567.640339131678</c:v>
                      </c:pt>
                      <c:pt idx="25">
                        <c:v>-3952.5521723581187</c:v>
                      </c:pt>
                      <c:pt idx="26">
                        <c:v>-2243.6681029612009</c:v>
                      </c:pt>
                      <c:pt idx="27">
                        <c:v>-2948.9873945782892</c:v>
                      </c:pt>
                      <c:pt idx="28">
                        <c:v>-6152.6093107331035</c:v>
                      </c:pt>
                      <c:pt idx="29">
                        <c:v>-3710.9331148605852</c:v>
                      </c:pt>
                      <c:pt idx="30">
                        <c:v>-1046.7580703318235</c:v>
                      </c:pt>
                      <c:pt idx="31">
                        <c:v>-3429.7834404789901</c:v>
                      </c:pt>
                      <c:pt idx="32">
                        <c:v>-6449.4084886202108</c:v>
                      </c:pt>
                      <c:pt idx="33">
                        <c:v>-3400.6324780845098</c:v>
                      </c:pt>
                      <c:pt idx="34">
                        <c:v>-948.0546722367144</c:v>
                      </c:pt>
                      <c:pt idx="35">
                        <c:v>-3083.3743345023831</c:v>
                      </c:pt>
                      <c:pt idx="36">
                        <c:v>-6284.1907283926703</c:v>
                      </c:pt>
                      <c:pt idx="37">
                        <c:v>-2524.1031175292883</c:v>
                      </c:pt>
                      <c:pt idx="38">
                        <c:v>385.68923433063901</c:v>
                      </c:pt>
                      <c:pt idx="39">
                        <c:v>-2755.0129367303161</c:v>
                      </c:pt>
                      <c:pt idx="40">
                        <c:v>-6912.0088948147459</c:v>
                      </c:pt>
                      <c:pt idx="41">
                        <c:v>-8927.8979042353094</c:v>
                      </c:pt>
                      <c:pt idx="42">
                        <c:v>-4343.1792295395207</c:v>
                      </c:pt>
                      <c:pt idx="43">
                        <c:v>-5884.3521355346238</c:v>
                      </c:pt>
                      <c:pt idx="44">
                        <c:v>-8043.3158873123539</c:v>
                      </c:pt>
                      <c:pt idx="45">
                        <c:v>-4614.9697502737909</c:v>
                      </c:pt>
                      <c:pt idx="46">
                        <c:v>307.58700984596362</c:v>
                      </c:pt>
                      <c:pt idx="47">
                        <c:v>-1330.6448730470584</c:v>
                      </c:pt>
                      <c:pt idx="48">
                        <c:v>-3445.1646654303258</c:v>
                      </c:pt>
                      <c:pt idx="49">
                        <c:v>872.32836581047741</c:v>
                      </c:pt>
                      <c:pt idx="50">
                        <c:v>6308.3349533567743</c:v>
                      </c:pt>
                      <c:pt idx="51">
                        <c:v>3584.1558294324859</c:v>
                      </c:pt>
                      <c:pt idx="52">
                        <c:v>-82.808274220573367</c:v>
                      </c:pt>
                      <c:pt idx="53">
                        <c:v>4179.2433736327512</c:v>
                      </c:pt>
                      <c:pt idx="54">
                        <c:v>9034.81150369643</c:v>
                      </c:pt>
                      <c:pt idx="55">
                        <c:v>5916.3968461187396</c:v>
                      </c:pt>
                      <c:pt idx="56">
                        <c:v>1318.0001304678444</c:v>
                      </c:pt>
                      <c:pt idx="57">
                        <c:v>6330.7220857073917</c:v>
                      </c:pt>
                      <c:pt idx="58">
                        <c:v>11312.863440172114</c:v>
                      </c:pt>
                      <c:pt idx="59">
                        <c:v>8088.0249215435615</c:v>
                      </c:pt>
                      <c:pt idx="60">
                        <c:v>2973.0072568257674</c:v>
                      </c:pt>
                      <c:pt idx="61">
                        <c:v>8694.4111723211026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B47-400D-8427-0C6A58F8CAE8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t.logistyczny!$I$1</c15:sqref>
                        </c15:formulaRef>
                      </c:ext>
                    </c:extLst>
                    <c:strCache>
                      <c:ptCount val="1"/>
                      <c:pt idx="0">
                        <c:v>(gva-trend)^2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t.logistyczny!$A$2:$A$63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t.logistyczny!$I$2:$I$63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77014741.775105</c:v>
                      </c:pt>
                      <c:pt idx="1">
                        <c:v>101121346.42883646</c:v>
                      </c:pt>
                      <c:pt idx="2">
                        <c:v>78639579.9875824</c:v>
                      </c:pt>
                      <c:pt idx="3">
                        <c:v>102407520.41957058</c:v>
                      </c:pt>
                      <c:pt idx="4">
                        <c:v>9134925.5788605586</c:v>
                      </c:pt>
                      <c:pt idx="5">
                        <c:v>30280018.698492117</c:v>
                      </c:pt>
                      <c:pt idx="6">
                        <c:v>26112446.345370695</c:v>
                      </c:pt>
                      <c:pt idx="7">
                        <c:v>15571085.269457132</c:v>
                      </c:pt>
                      <c:pt idx="8">
                        <c:v>1778511.0889832266</c:v>
                      </c:pt>
                      <c:pt idx="9">
                        <c:v>530050.08169975108</c:v>
                      </c:pt>
                      <c:pt idx="10">
                        <c:v>1402053.0765401444</c:v>
                      </c:pt>
                      <c:pt idx="11">
                        <c:v>1062354.7497545434</c:v>
                      </c:pt>
                      <c:pt idx="12">
                        <c:v>15570803.207854014</c:v>
                      </c:pt>
                      <c:pt idx="13">
                        <c:v>1148307.2964582168</c:v>
                      </c:pt>
                      <c:pt idx="14">
                        <c:v>26085.231793866118</c:v>
                      </c:pt>
                      <c:pt idx="15">
                        <c:v>330095.79057590687</c:v>
                      </c:pt>
                      <c:pt idx="16">
                        <c:v>23699190.972680598</c:v>
                      </c:pt>
                      <c:pt idx="17">
                        <c:v>5982593.3876627777</c:v>
                      </c:pt>
                      <c:pt idx="18">
                        <c:v>909346.47629109328</c:v>
                      </c:pt>
                      <c:pt idx="19">
                        <c:v>1738358.9092718966</c:v>
                      </c:pt>
                      <c:pt idx="20">
                        <c:v>26883693.041056994</c:v>
                      </c:pt>
                      <c:pt idx="21">
                        <c:v>7901927.8072471377</c:v>
                      </c:pt>
                      <c:pt idx="22">
                        <c:v>4053102.7215966145</c:v>
                      </c:pt>
                      <c:pt idx="23">
                        <c:v>2386510.0468491586</c:v>
                      </c:pt>
                      <c:pt idx="24">
                        <c:v>43133899.62418966</c:v>
                      </c:pt>
                      <c:pt idx="25">
                        <c:v>15622668.675212882</c:v>
                      </c:pt>
                      <c:pt idx="26">
                        <c:v>5034046.5562455142</c:v>
                      </c:pt>
                      <c:pt idx="27">
                        <c:v>8696526.6533816457</c:v>
                      </c:pt>
                      <c:pt idx="28">
                        <c:v>37854601.330519676</c:v>
                      </c:pt>
                      <c:pt idx="29">
                        <c:v>13771024.582968885</c:v>
                      </c:pt>
                      <c:pt idx="30">
                        <c:v>1095702.4578048028</c:v>
                      </c:pt>
                      <c:pt idx="31">
                        <c:v>11763414.448583899</c:v>
                      </c:pt>
                      <c:pt idx="32">
                        <c:v>41594869.853086434</c:v>
                      </c:pt>
                      <c:pt idx="33">
                        <c:v>11564301.251003195</c:v>
                      </c:pt>
                      <c:pt idx="34">
                        <c:v>898807.66154986399</c:v>
                      </c:pt>
                      <c:pt idx="35">
                        <c:v>9507197.2866680138</c:v>
                      </c:pt>
                      <c:pt idx="36">
                        <c:v>39491053.110816397</c:v>
                      </c:pt>
                      <c:pt idx="37">
                        <c:v>6371096.5479210718</c:v>
                      </c:pt>
                      <c:pt idx="38">
                        <c:v>148756.18547855457</c:v>
                      </c:pt>
                      <c:pt idx="39">
                        <c:v>7590096.2815514011</c:v>
                      </c:pt>
                      <c:pt idx="40">
                        <c:v>47775866.961998165</c:v>
                      </c:pt>
                      <c:pt idx="41">
                        <c:v>79707360.988449231</c:v>
                      </c:pt>
                      <c:pt idx="42">
                        <c:v>18863205.819903504</c:v>
                      </c:pt>
                      <c:pt idx="43">
                        <c:v>34625600.05497089</c:v>
                      </c:pt>
                      <c:pt idx="44">
                        <c:v>64694930.463091321</c:v>
                      </c:pt>
                      <c:pt idx="45">
                        <c:v>21297945.795942135</c:v>
                      </c:pt>
                      <c:pt idx="46">
                        <c:v>94609.768625980927</c:v>
                      </c:pt>
                      <c:pt idx="47">
                        <c:v>1770615.7781664222</c:v>
                      </c:pt>
                      <c:pt idx="48">
                        <c:v>11869159.571929649</c:v>
                      </c:pt>
                      <c:pt idx="49">
                        <c:v>760956.77779757814</c:v>
                      </c:pt>
                      <c:pt idx="50">
                        <c:v>39795089.883742817</c:v>
                      </c:pt>
                      <c:pt idx="51">
                        <c:v>12846173.00965487</c:v>
                      </c:pt>
                      <c:pt idx="52">
                        <c:v>6857.2102793896756</c:v>
                      </c:pt>
                      <c:pt idx="53">
                        <c:v>17466075.17605326</c:v>
                      </c:pt>
                      <c:pt idx="54">
                        <c:v>81627818.907325342</c:v>
                      </c:pt>
                      <c:pt idx="55">
                        <c:v>35003751.640763767</c:v>
                      </c:pt>
                      <c:pt idx="56">
                        <c:v>1737124.343913255</c:v>
                      </c:pt>
                      <c:pt idx="57">
                        <c:v>40078042.126463346</c:v>
                      </c:pt>
                      <c:pt idx="58">
                        <c:v>127980879.21598284</c:v>
                      </c:pt>
                      <c:pt idx="59">
                        <c:v>65416147.131509736</c:v>
                      </c:pt>
                      <c:pt idx="60">
                        <c:v>8838772.1491386741</c:v>
                      </c:pt>
                      <c:pt idx="61">
                        <c:v>75592785.633382007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B47-400D-8427-0C6A58F8CAE8}"/>
                  </c:ext>
                </c:extLst>
              </c15:ser>
            </c15:filteredLineSeries>
          </c:ext>
        </c:extLst>
      </c:lineChart>
      <c:catAx>
        <c:axId val="660313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660318144"/>
        <c:crosses val="autoZero"/>
        <c:auto val="1"/>
        <c:lblAlgn val="ctr"/>
        <c:lblOffset val="700"/>
        <c:tickLblSkip val="1"/>
        <c:noMultiLvlLbl val="0"/>
      </c:catAx>
      <c:valAx>
        <c:axId val="66031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660313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597003499562554"/>
          <c:y val="6.0185185185185182E-2"/>
          <c:w val="0.8334744094488189"/>
          <c:h val="0.79224482356372117"/>
        </c:manualLayout>
      </c:layout>
      <c:lineChart>
        <c:grouping val="standard"/>
        <c:varyColors val="0"/>
        <c:ser>
          <c:idx val="0"/>
          <c:order val="0"/>
          <c:tx>
            <c:strRef>
              <c:f>t.potegowy!$B$1</c:f>
              <c:strCache>
                <c:ptCount val="1"/>
                <c:pt idx="0">
                  <c:v>GVA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t.potegowy!$A$2:$A$63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t.potegowy!$B$2:$B$63</c:f>
              <c:numCache>
                <c:formatCode>#\ ##0.0</c:formatCode>
                <c:ptCount val="62"/>
                <c:pt idx="0">
                  <c:v>48489.7</c:v>
                </c:pt>
                <c:pt idx="1">
                  <c:v>49856.6</c:v>
                </c:pt>
                <c:pt idx="2">
                  <c:v>48755.4</c:v>
                </c:pt>
                <c:pt idx="3">
                  <c:v>50094</c:v>
                </c:pt>
                <c:pt idx="4">
                  <c:v>43083.6</c:v>
                </c:pt>
                <c:pt idx="5">
                  <c:v>45650.8</c:v>
                </c:pt>
                <c:pt idx="6">
                  <c:v>45345</c:v>
                </c:pt>
                <c:pt idx="7">
                  <c:v>44267.9</c:v>
                </c:pt>
                <c:pt idx="8">
                  <c:v>39075.199999999997</c:v>
                </c:pt>
                <c:pt idx="9">
                  <c:v>41223.800000000003</c:v>
                </c:pt>
                <c:pt idx="10">
                  <c:v>41766.800000000003</c:v>
                </c:pt>
                <c:pt idx="11">
                  <c:v>41700.400000000001</c:v>
                </c:pt>
                <c:pt idx="12">
                  <c:v>36810.699999999997</c:v>
                </c:pt>
                <c:pt idx="13">
                  <c:v>39772.1</c:v>
                </c:pt>
                <c:pt idx="14">
                  <c:v>40769.199999999997</c:v>
                </c:pt>
                <c:pt idx="15">
                  <c:v>40443.199999999997</c:v>
                </c:pt>
                <c:pt idx="16">
                  <c:v>36236.6</c:v>
                </c:pt>
                <c:pt idx="17">
                  <c:v>38745.9</c:v>
                </c:pt>
                <c:pt idx="18">
                  <c:v>40325.300000000003</c:v>
                </c:pt>
                <c:pt idx="19">
                  <c:v>40047.5</c:v>
                </c:pt>
                <c:pt idx="20">
                  <c:v>36268.1</c:v>
                </c:pt>
                <c:pt idx="21">
                  <c:v>38729.1</c:v>
                </c:pt>
                <c:pt idx="22">
                  <c:v>39614</c:v>
                </c:pt>
                <c:pt idx="23">
                  <c:v>40169.5</c:v>
                </c:pt>
                <c:pt idx="24">
                  <c:v>35233.800000000003</c:v>
                </c:pt>
                <c:pt idx="25">
                  <c:v>37936</c:v>
                </c:pt>
                <c:pt idx="26">
                  <c:v>39732</c:v>
                </c:pt>
                <c:pt idx="27">
                  <c:v>39113.800000000003</c:v>
                </c:pt>
                <c:pt idx="28">
                  <c:v>35997.300000000003</c:v>
                </c:pt>
                <c:pt idx="29">
                  <c:v>38526.1</c:v>
                </c:pt>
                <c:pt idx="30">
                  <c:v>41277.4</c:v>
                </c:pt>
                <c:pt idx="31">
                  <c:v>38981.5</c:v>
                </c:pt>
                <c:pt idx="32">
                  <c:v>36049</c:v>
                </c:pt>
                <c:pt idx="33">
                  <c:v>39184.9</c:v>
                </c:pt>
                <c:pt idx="34">
                  <c:v>41724.6</c:v>
                </c:pt>
                <c:pt idx="35">
                  <c:v>39676.400000000001</c:v>
                </c:pt>
                <c:pt idx="36">
                  <c:v>36562.699999999997</c:v>
                </c:pt>
                <c:pt idx="37">
                  <c:v>40409.9</c:v>
                </c:pt>
                <c:pt idx="38">
                  <c:v>43406.8</c:v>
                </c:pt>
                <c:pt idx="39">
                  <c:v>40353.199999999997</c:v>
                </c:pt>
                <c:pt idx="40">
                  <c:v>36283.300000000003</c:v>
                </c:pt>
                <c:pt idx="41">
                  <c:v>34354.5</c:v>
                </c:pt>
                <c:pt idx="42">
                  <c:v>39026.300000000003</c:v>
                </c:pt>
                <c:pt idx="43">
                  <c:v>37572.199999999997</c:v>
                </c:pt>
                <c:pt idx="44">
                  <c:v>35500.300000000003</c:v>
                </c:pt>
                <c:pt idx="45">
                  <c:v>39015.699999999997</c:v>
                </c:pt>
                <c:pt idx="46">
                  <c:v>44025.3</c:v>
                </c:pt>
                <c:pt idx="47">
                  <c:v>42474.1</c:v>
                </c:pt>
                <c:pt idx="48">
                  <c:v>40446.6</c:v>
                </c:pt>
                <c:pt idx="49">
                  <c:v>44851.1</c:v>
                </c:pt>
                <c:pt idx="50">
                  <c:v>50374.1</c:v>
                </c:pt>
                <c:pt idx="51">
                  <c:v>47736.9</c:v>
                </c:pt>
                <c:pt idx="52">
                  <c:v>44156.9</c:v>
                </c:pt>
                <c:pt idx="53">
                  <c:v>48505.9</c:v>
                </c:pt>
                <c:pt idx="54">
                  <c:v>53448.4</c:v>
                </c:pt>
                <c:pt idx="55">
                  <c:v>50416.9</c:v>
                </c:pt>
                <c:pt idx="56">
                  <c:v>45905.4</c:v>
                </c:pt>
                <c:pt idx="57">
                  <c:v>51005</c:v>
                </c:pt>
                <c:pt idx="58">
                  <c:v>56074</c:v>
                </c:pt>
                <c:pt idx="59">
                  <c:v>52936</c:v>
                </c:pt>
                <c:pt idx="60">
                  <c:v>47907.8</c:v>
                </c:pt>
                <c:pt idx="61">
                  <c:v>53716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3F-4D34-A96A-D5BD8F9924EF}"/>
            </c:ext>
          </c:extLst>
        </c:ser>
        <c:ser>
          <c:idx val="4"/>
          <c:order val="4"/>
          <c:tx>
            <c:strRef>
              <c:f>t.potegowy!$F$1</c:f>
              <c:strCache>
                <c:ptCount val="1"/>
                <c:pt idx="0">
                  <c:v>y^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t.potegowy!$A$2:$A$63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t.potegowy!$F$2:$F$63</c:f>
              <c:numCache>
                <c:formatCode>#\ ##0.0</c:formatCode>
                <c:ptCount val="62"/>
                <c:pt idx="0">
                  <c:v>42369.871296640609</c:v>
                </c:pt>
                <c:pt idx="1">
                  <c:v>42320.416326499733</c:v>
                </c:pt>
                <c:pt idx="2">
                  <c:v>42285.362478466035</c:v>
                </c:pt>
                <c:pt idx="3">
                  <c:v>42258.192597868954</c:v>
                </c:pt>
                <c:pt idx="4">
                  <c:v>42236.006148725784</c:v>
                </c:pt>
                <c:pt idx="5">
                  <c:v>42217.256861189177</c:v>
                </c:pt>
                <c:pt idx="6">
                  <c:v>42201.022217337559</c:v>
                </c:pt>
                <c:pt idx="7">
                  <c:v>42186.707428691188</c:v>
                </c:pt>
                <c:pt idx="8">
                  <c:v>42173.906528420302</c:v>
                </c:pt>
                <c:pt idx="9">
                  <c:v>42162.330051735204</c:v>
                </c:pt>
                <c:pt idx="10">
                  <c:v>42151.764331254752</c:v>
                </c:pt>
                <c:pt idx="11">
                  <c:v>42142.047148755999</c:v>
                </c:pt>
                <c:pt idx="12">
                  <c:v>42133.052440105785</c:v>
                </c:pt>
                <c:pt idx="13">
                  <c:v>42124.680292317651</c:v>
                </c:pt>
                <c:pt idx="14">
                  <c:v>42116.850177059765</c:v>
                </c:pt>
                <c:pt idx="15">
                  <c:v>42109.496240115812</c:v>
                </c:pt>
                <c:pt idx="16">
                  <c:v>42102.563939972177</c:v>
                </c:pt>
                <c:pt idx="17">
                  <c:v>42096.007596897354</c:v>
                </c:pt>
                <c:pt idx="18">
                  <c:v>42089.788571734309</c:v>
                </c:pt>
                <c:pt idx="19">
                  <c:v>42083.873889720751</c:v>
                </c:pt>
                <c:pt idx="20">
                  <c:v>42078.23518490843</c:v>
                </c:pt>
                <c:pt idx="21">
                  <c:v>42072.847879538196</c:v>
                </c:pt>
                <c:pt idx="22">
                  <c:v>42067.690538283627</c:v>
                </c:pt>
                <c:pt idx="23">
                  <c:v>42062.744354472779</c:v>
                </c:pt>
                <c:pt idx="24">
                  <c:v>42057.992737189241</c:v>
                </c:pt>
                <c:pt idx="25">
                  <c:v>42053.420976380716</c:v>
                </c:pt>
                <c:pt idx="26">
                  <c:v>42049.01596893333</c:v>
                </c:pt>
                <c:pt idx="27">
                  <c:v>42044.765992860805</c:v>
                </c:pt>
                <c:pt idx="28">
                  <c:v>42040.660519810874</c:v>
                </c:pt>
                <c:pt idx="29">
                  <c:v>42036.69005834272</c:v>
                </c:pt>
                <c:pt idx="30">
                  <c:v>42032.846022107762</c:v>
                </c:pt>
                <c:pt idx="31">
                  <c:v>42029.120618331603</c:v>
                </c:pt>
                <c:pt idx="32">
                  <c:v>42025.506752957263</c:v>
                </c:pt>
                <c:pt idx="33">
                  <c:v>42021.99794954939</c:v>
                </c:pt>
                <c:pt idx="34">
                  <c:v>42018.588279631462</c:v>
                </c:pt>
                <c:pt idx="35">
                  <c:v>42015.27230257474</c:v>
                </c:pt>
                <c:pt idx="36">
                  <c:v>42012.045013509385</c:v>
                </c:pt>
                <c:pt idx="37">
                  <c:v>42008.901798006525</c:v>
                </c:pt>
                <c:pt idx="38">
                  <c:v>42005.838392501719</c:v>
                </c:pt>
                <c:pt idx="39">
                  <c:v>42002.850849608752</c:v>
                </c:pt>
                <c:pt idx="40">
                  <c:v>41999.935507615963</c:v>
                </c:pt>
                <c:pt idx="41">
                  <c:v>41997.088963574301</c:v>
                </c:pt>
                <c:pt idx="42">
                  <c:v>41994.30804948118</c:v>
                </c:pt>
                <c:pt idx="43">
                  <c:v>41991.589811142592</c:v>
                </c:pt>
                <c:pt idx="44">
                  <c:v>41988.931489359777</c:v>
                </c:pt>
                <c:pt idx="45">
                  <c:v>41986.330503140533</c:v>
                </c:pt>
                <c:pt idx="46">
                  <c:v>41983.784434679153</c:v>
                </c:pt>
                <c:pt idx="47">
                  <c:v>41981.291015885879</c:v>
                </c:pt>
                <c:pt idx="48">
                  <c:v>41978.848116278234</c:v>
                </c:pt>
                <c:pt idx="49">
                  <c:v>41976.453732071932</c:v>
                </c:pt>
                <c:pt idx="50">
                  <c:v>41974.105976331972</c:v>
                </c:pt>
                <c:pt idx="51">
                  <c:v>41971.803070062131</c:v>
                </c:pt>
                <c:pt idx="52">
                  <c:v>41969.543334128037</c:v>
                </c:pt>
                <c:pt idx="53">
                  <c:v>41967.325181921704</c:v>
                </c:pt>
                <c:pt idx="54">
                  <c:v>41965.147112687366</c:v>
                </c:pt>
                <c:pt idx="55">
                  <c:v>41963.007705438438</c:v>
                </c:pt>
                <c:pt idx="56">
                  <c:v>41960.905613403738</c:v>
                </c:pt>
                <c:pt idx="57">
                  <c:v>41958.839558948814</c:v>
                </c:pt>
                <c:pt idx="58">
                  <c:v>41956.80832892425</c:v>
                </c:pt>
                <c:pt idx="59">
                  <c:v>41954.810770398712</c:v>
                </c:pt>
                <c:pt idx="60">
                  <c:v>41952.845786739206</c:v>
                </c:pt>
                <c:pt idx="61">
                  <c:v>41950.912334005036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3F-4D34-A96A-D5BD8F9924EF}"/>
            </c:ext>
          </c:extLst>
        </c:ser>
        <c:ser>
          <c:idx val="8"/>
          <c:order val="8"/>
          <c:tx>
            <c:strRef>
              <c:f>t.potegowy!$J$1</c:f>
              <c:strCache>
                <c:ptCount val="1"/>
                <c:pt idx="0">
                  <c:v>Przyrost kwartalny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t.potegowy!$A$2:$A$63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t.potegowy!$J$2:$J$63</c:f>
              <c:numCache>
                <c:formatCode>General</c:formatCode>
                <c:ptCount val="62"/>
                <c:pt idx="1">
                  <c:v>1366.9000000000015</c:v>
                </c:pt>
                <c:pt idx="2">
                  <c:v>-1101.1999999999971</c:v>
                </c:pt>
                <c:pt idx="3">
                  <c:v>1338.5999999999985</c:v>
                </c:pt>
                <c:pt idx="4">
                  <c:v>-7010.4000000000015</c:v>
                </c:pt>
                <c:pt idx="5">
                  <c:v>2567.2000000000044</c:v>
                </c:pt>
                <c:pt idx="6">
                  <c:v>-305.80000000000291</c:v>
                </c:pt>
                <c:pt idx="7">
                  <c:v>-1077.0999999999985</c:v>
                </c:pt>
                <c:pt idx="8">
                  <c:v>-5192.7000000000044</c:v>
                </c:pt>
                <c:pt idx="9">
                  <c:v>2148.6000000000058</c:v>
                </c:pt>
                <c:pt idx="10">
                  <c:v>543</c:v>
                </c:pt>
                <c:pt idx="11">
                  <c:v>-66.400000000001455</c:v>
                </c:pt>
                <c:pt idx="12">
                  <c:v>-4889.7000000000044</c:v>
                </c:pt>
                <c:pt idx="13">
                  <c:v>2961.4000000000015</c:v>
                </c:pt>
                <c:pt idx="14">
                  <c:v>997.09999999999854</c:v>
                </c:pt>
                <c:pt idx="15">
                  <c:v>-326</c:v>
                </c:pt>
                <c:pt idx="16">
                  <c:v>-4206.5999999999985</c:v>
                </c:pt>
                <c:pt idx="17">
                  <c:v>2509.3000000000029</c:v>
                </c:pt>
                <c:pt idx="18">
                  <c:v>1579.4000000000015</c:v>
                </c:pt>
                <c:pt idx="19">
                  <c:v>-277.80000000000291</c:v>
                </c:pt>
                <c:pt idx="20">
                  <c:v>-3779.4000000000015</c:v>
                </c:pt>
                <c:pt idx="21">
                  <c:v>2461</c:v>
                </c:pt>
                <c:pt idx="22">
                  <c:v>884.90000000000146</c:v>
                </c:pt>
                <c:pt idx="23">
                  <c:v>555.5</c:v>
                </c:pt>
                <c:pt idx="24">
                  <c:v>-4935.6999999999971</c:v>
                </c:pt>
                <c:pt idx="25">
                  <c:v>2702.1999999999971</c:v>
                </c:pt>
                <c:pt idx="26">
                  <c:v>1796</c:v>
                </c:pt>
                <c:pt idx="27">
                  <c:v>-618.19999999999709</c:v>
                </c:pt>
                <c:pt idx="28">
                  <c:v>-3116.5</c:v>
                </c:pt>
                <c:pt idx="29">
                  <c:v>2528.7999999999956</c:v>
                </c:pt>
                <c:pt idx="30">
                  <c:v>2751.3000000000029</c:v>
                </c:pt>
                <c:pt idx="31">
                  <c:v>-2295.9000000000015</c:v>
                </c:pt>
                <c:pt idx="32">
                  <c:v>-2932.5</c:v>
                </c:pt>
                <c:pt idx="33">
                  <c:v>3135.9000000000015</c:v>
                </c:pt>
                <c:pt idx="34">
                  <c:v>2539.6999999999971</c:v>
                </c:pt>
                <c:pt idx="35">
                  <c:v>-2048.1999999999971</c:v>
                </c:pt>
                <c:pt idx="36">
                  <c:v>-3113.7000000000044</c:v>
                </c:pt>
                <c:pt idx="37">
                  <c:v>3847.2000000000044</c:v>
                </c:pt>
                <c:pt idx="38">
                  <c:v>2996.9000000000015</c:v>
                </c:pt>
                <c:pt idx="39">
                  <c:v>-3053.6000000000058</c:v>
                </c:pt>
                <c:pt idx="40">
                  <c:v>-4069.8999999999942</c:v>
                </c:pt>
                <c:pt idx="41">
                  <c:v>-1928.8000000000029</c:v>
                </c:pt>
                <c:pt idx="42">
                  <c:v>4671.8000000000029</c:v>
                </c:pt>
                <c:pt idx="43">
                  <c:v>-1454.1000000000058</c:v>
                </c:pt>
                <c:pt idx="44">
                  <c:v>-2071.8999999999942</c:v>
                </c:pt>
                <c:pt idx="45">
                  <c:v>3515.3999999999942</c:v>
                </c:pt>
                <c:pt idx="46">
                  <c:v>5009.6000000000058</c:v>
                </c:pt>
                <c:pt idx="47">
                  <c:v>-1551.2000000000044</c:v>
                </c:pt>
                <c:pt idx="48">
                  <c:v>-2027.5</c:v>
                </c:pt>
                <c:pt idx="49">
                  <c:v>4404.5</c:v>
                </c:pt>
                <c:pt idx="50">
                  <c:v>5523</c:v>
                </c:pt>
                <c:pt idx="51">
                  <c:v>-2637.1999999999971</c:v>
                </c:pt>
                <c:pt idx="52">
                  <c:v>-3580</c:v>
                </c:pt>
                <c:pt idx="53">
                  <c:v>4349</c:v>
                </c:pt>
                <c:pt idx="54">
                  <c:v>4942.5</c:v>
                </c:pt>
                <c:pt idx="55">
                  <c:v>-3031.5</c:v>
                </c:pt>
                <c:pt idx="56">
                  <c:v>-4511.5</c:v>
                </c:pt>
                <c:pt idx="57">
                  <c:v>5099.5999999999985</c:v>
                </c:pt>
                <c:pt idx="58">
                  <c:v>5069</c:v>
                </c:pt>
                <c:pt idx="59">
                  <c:v>-3138</c:v>
                </c:pt>
                <c:pt idx="60">
                  <c:v>-5028.1999999999971</c:v>
                </c:pt>
                <c:pt idx="61">
                  <c:v>5808.1999999999971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3F-4D34-A96A-D5BD8F9924EF}"/>
            </c:ext>
          </c:extLst>
        </c:ser>
        <c:ser>
          <c:idx val="9"/>
          <c:order val="9"/>
          <c:tx>
            <c:strRef>
              <c:f>t.potegowy!$K$1</c:f>
              <c:strCache>
                <c:ptCount val="1"/>
                <c:pt idx="0">
                  <c:v>Wahania losowe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t.potegowy!$A$2:$A$63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t.potegowy!$K$2:$K$63</c:f>
              <c:numCache>
                <c:formatCode>General</c:formatCode>
                <c:ptCount val="62"/>
                <c:pt idx="1">
                  <c:v>-1539.2152083333322</c:v>
                </c:pt>
                <c:pt idx="2">
                  <c:v>-3408.6152083333309</c:v>
                </c:pt>
                <c:pt idx="3">
                  <c:v>2711.8331249999992</c:v>
                </c:pt>
                <c:pt idx="4">
                  <c:v>-3170.1027083333347</c:v>
                </c:pt>
                <c:pt idx="5">
                  <c:v>-338.91520833332925</c:v>
                </c:pt>
                <c:pt idx="6">
                  <c:v>-2613.2152083333367</c:v>
                </c:pt>
                <c:pt idx="7">
                  <c:v>296.13312500000234</c:v>
                </c:pt>
                <c:pt idx="8">
                  <c:v>-1352.4027083333376</c:v>
                </c:pt>
                <c:pt idx="9">
                  <c:v>-757.51520833332779</c:v>
                </c:pt>
                <c:pt idx="10">
                  <c:v>-1764.4152083333338</c:v>
                </c:pt>
                <c:pt idx="11">
                  <c:v>1306.8331249999994</c:v>
                </c:pt>
                <c:pt idx="12">
                  <c:v>-1049.4027083333376</c:v>
                </c:pt>
                <c:pt idx="13">
                  <c:v>55.284791666667843</c:v>
                </c:pt>
                <c:pt idx="14">
                  <c:v>-1310.3152083333352</c:v>
                </c:pt>
                <c:pt idx="15">
                  <c:v>1047.2331250000009</c:v>
                </c:pt>
                <c:pt idx="16">
                  <c:v>-366.30270833333179</c:v>
                </c:pt>
                <c:pt idx="17">
                  <c:v>-396.8152083333307</c:v>
                </c:pt>
                <c:pt idx="18">
                  <c:v>-728.01520833333234</c:v>
                </c:pt>
                <c:pt idx="19">
                  <c:v>1095.433124999998</c:v>
                </c:pt>
                <c:pt idx="20">
                  <c:v>60.897291666665296</c:v>
                </c:pt>
                <c:pt idx="21">
                  <c:v>-445.11520833333361</c:v>
                </c:pt>
                <c:pt idx="22">
                  <c:v>-1422.5152083333323</c:v>
                </c:pt>
                <c:pt idx="23">
                  <c:v>1928.7331250000009</c:v>
                </c:pt>
                <c:pt idx="24">
                  <c:v>-1095.4027083333303</c:v>
                </c:pt>
                <c:pt idx="25">
                  <c:v>-203.91520833333652</c:v>
                </c:pt>
                <c:pt idx="26">
                  <c:v>-511.41520833333379</c:v>
                </c:pt>
                <c:pt idx="27">
                  <c:v>755.03312500000379</c:v>
                </c:pt>
                <c:pt idx="28">
                  <c:v>723.79729166666675</c:v>
                </c:pt>
                <c:pt idx="29">
                  <c:v>-377.31520833333798</c:v>
                </c:pt>
                <c:pt idx="30">
                  <c:v>443.88479166666912</c:v>
                </c:pt>
                <c:pt idx="31">
                  <c:v>-922.66687500000057</c:v>
                </c:pt>
                <c:pt idx="32">
                  <c:v>907.79729166666675</c:v>
                </c:pt>
                <c:pt idx="33">
                  <c:v>229.78479166666784</c:v>
                </c:pt>
                <c:pt idx="34">
                  <c:v>232.2847916666633</c:v>
                </c:pt>
                <c:pt idx="35">
                  <c:v>-674.96687499999621</c:v>
                </c:pt>
                <c:pt idx="36">
                  <c:v>726.59729166666239</c:v>
                </c:pt>
                <c:pt idx="37">
                  <c:v>941.08479166667075</c:v>
                </c:pt>
                <c:pt idx="38">
                  <c:v>689.48479166666766</c:v>
                </c:pt>
                <c:pt idx="39">
                  <c:v>-1680.3668750000049</c:v>
                </c:pt>
                <c:pt idx="40">
                  <c:v>-229.60270833332743</c:v>
                </c:pt>
                <c:pt idx="41">
                  <c:v>-4834.9152083333365</c:v>
                </c:pt>
                <c:pt idx="42">
                  <c:v>2364.3847916666691</c:v>
                </c:pt>
                <c:pt idx="43">
                  <c:v>-80.866875000004939</c:v>
                </c:pt>
                <c:pt idx="44">
                  <c:v>1768.3972916666726</c:v>
                </c:pt>
                <c:pt idx="45">
                  <c:v>609.28479166666057</c:v>
                </c:pt>
                <c:pt idx="46">
                  <c:v>2702.184791666672</c:v>
                </c:pt>
                <c:pt idx="47">
                  <c:v>-177.96687500000348</c:v>
                </c:pt>
                <c:pt idx="48">
                  <c:v>1812.7972916666668</c:v>
                </c:pt>
                <c:pt idx="49">
                  <c:v>1498.3847916666664</c:v>
                </c:pt>
                <c:pt idx="50">
                  <c:v>3215.5847916666662</c:v>
                </c:pt>
                <c:pt idx="51">
                  <c:v>-1263.9668749999962</c:v>
                </c:pt>
                <c:pt idx="52">
                  <c:v>260.29729166666675</c:v>
                </c:pt>
                <c:pt idx="53">
                  <c:v>1442.8847916666664</c:v>
                </c:pt>
                <c:pt idx="54">
                  <c:v>2635.0847916666662</c:v>
                </c:pt>
                <c:pt idx="55">
                  <c:v>-1658.2668749999991</c:v>
                </c:pt>
                <c:pt idx="56">
                  <c:v>-671.20270833333325</c:v>
                </c:pt>
                <c:pt idx="57">
                  <c:v>2193.4847916666649</c:v>
                </c:pt>
                <c:pt idx="58">
                  <c:v>2761.5847916666662</c:v>
                </c:pt>
                <c:pt idx="59">
                  <c:v>-1764.7668749999991</c:v>
                </c:pt>
                <c:pt idx="60">
                  <c:v>-1187.9027083333303</c:v>
                </c:pt>
                <c:pt idx="61">
                  <c:v>2902.0847916666635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A3F-4D34-A96A-D5BD8F9924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8987295"/>
        <c:axId val="818985855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t.potegowy!$C$1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t.potegowy!$A$2:$A$63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t.potegowy!$C$2:$C$63</c15:sqref>
                        </c15:formulaRef>
                      </c:ext>
                    </c:extLst>
                    <c:numCache>
                      <c:formatCode>#\ ##0.0</c:formatCode>
                      <c:ptCount val="6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FA3F-4D34-A96A-D5BD8F9924E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t.potegowy!$D$1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t.potegowy!$A$2:$A$63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t.potegowy!$D$2:$D$63</c15:sqref>
                        </c15:formulaRef>
                      </c:ext>
                    </c:extLst>
                    <c:numCache>
                      <c:formatCode>#,##0</c:formatCode>
                      <c:ptCount val="62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</c:v>
                      </c:pt>
                      <c:pt idx="38">
                        <c:v>1</c:v>
                      </c:pt>
                      <c:pt idx="39">
                        <c:v>1</c:v>
                      </c:pt>
                      <c:pt idx="40">
                        <c:v>1</c:v>
                      </c:pt>
                      <c:pt idx="41">
                        <c:v>1</c:v>
                      </c:pt>
                      <c:pt idx="42">
                        <c:v>1</c:v>
                      </c:pt>
                      <c:pt idx="43">
                        <c:v>1</c:v>
                      </c:pt>
                      <c:pt idx="44">
                        <c:v>1</c:v>
                      </c:pt>
                      <c:pt idx="45">
                        <c:v>1</c:v>
                      </c:pt>
                      <c:pt idx="46">
                        <c:v>1</c:v>
                      </c:pt>
                      <c:pt idx="47">
                        <c:v>1</c:v>
                      </c:pt>
                      <c:pt idx="48">
                        <c:v>1</c:v>
                      </c:pt>
                      <c:pt idx="49">
                        <c:v>1</c:v>
                      </c:pt>
                      <c:pt idx="50">
                        <c:v>1</c:v>
                      </c:pt>
                      <c:pt idx="51">
                        <c:v>1</c:v>
                      </c:pt>
                      <c:pt idx="52">
                        <c:v>1</c:v>
                      </c:pt>
                      <c:pt idx="53">
                        <c:v>1</c:v>
                      </c:pt>
                      <c:pt idx="54">
                        <c:v>1</c:v>
                      </c:pt>
                      <c:pt idx="55">
                        <c:v>1</c:v>
                      </c:pt>
                      <c:pt idx="56">
                        <c:v>1</c:v>
                      </c:pt>
                      <c:pt idx="57">
                        <c:v>1</c:v>
                      </c:pt>
                      <c:pt idx="58">
                        <c:v>1</c:v>
                      </c:pt>
                      <c:pt idx="59">
                        <c:v>1</c:v>
                      </c:pt>
                      <c:pt idx="60">
                        <c:v>1</c:v>
                      </c:pt>
                      <c:pt idx="6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A3F-4D34-A96A-D5BD8F9924EF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t.potegowy!$E$1</c15:sqref>
                        </c15:formulaRef>
                      </c:ext>
                    </c:extLst>
                    <c:strCache>
                      <c:ptCount val="1"/>
                      <c:pt idx="0">
                        <c:v>t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t.potegowy!$A$2:$A$63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t.potegowy!$E$2:$E$63</c15:sqref>
                        </c15:formulaRef>
                      </c:ext>
                    </c:extLst>
                    <c:numCache>
                      <c:formatCode>#,##0</c:formatCode>
                      <c:ptCount val="62"/>
                      <c:pt idx="0">
                        <c:v>2</c:v>
                      </c:pt>
                      <c:pt idx="1">
                        <c:v>3</c:v>
                      </c:pt>
                      <c:pt idx="2">
                        <c:v>4</c:v>
                      </c:pt>
                      <c:pt idx="3">
                        <c:v>5</c:v>
                      </c:pt>
                      <c:pt idx="4">
                        <c:v>6</c:v>
                      </c:pt>
                      <c:pt idx="5">
                        <c:v>7</c:v>
                      </c:pt>
                      <c:pt idx="6">
                        <c:v>8</c:v>
                      </c:pt>
                      <c:pt idx="7">
                        <c:v>9</c:v>
                      </c:pt>
                      <c:pt idx="8">
                        <c:v>10</c:v>
                      </c:pt>
                      <c:pt idx="9">
                        <c:v>11</c:v>
                      </c:pt>
                      <c:pt idx="10">
                        <c:v>12</c:v>
                      </c:pt>
                      <c:pt idx="11">
                        <c:v>13</c:v>
                      </c:pt>
                      <c:pt idx="12">
                        <c:v>14</c:v>
                      </c:pt>
                      <c:pt idx="13">
                        <c:v>15</c:v>
                      </c:pt>
                      <c:pt idx="14">
                        <c:v>16</c:v>
                      </c:pt>
                      <c:pt idx="15">
                        <c:v>17</c:v>
                      </c:pt>
                      <c:pt idx="16">
                        <c:v>18</c:v>
                      </c:pt>
                      <c:pt idx="17">
                        <c:v>19</c:v>
                      </c:pt>
                      <c:pt idx="18">
                        <c:v>20</c:v>
                      </c:pt>
                      <c:pt idx="19">
                        <c:v>21</c:v>
                      </c:pt>
                      <c:pt idx="20">
                        <c:v>22</c:v>
                      </c:pt>
                      <c:pt idx="21">
                        <c:v>23</c:v>
                      </c:pt>
                      <c:pt idx="22">
                        <c:v>24</c:v>
                      </c:pt>
                      <c:pt idx="23">
                        <c:v>25</c:v>
                      </c:pt>
                      <c:pt idx="24">
                        <c:v>26</c:v>
                      </c:pt>
                      <c:pt idx="25">
                        <c:v>27</c:v>
                      </c:pt>
                      <c:pt idx="26">
                        <c:v>28</c:v>
                      </c:pt>
                      <c:pt idx="27">
                        <c:v>29</c:v>
                      </c:pt>
                      <c:pt idx="28">
                        <c:v>30</c:v>
                      </c:pt>
                      <c:pt idx="29">
                        <c:v>31</c:v>
                      </c:pt>
                      <c:pt idx="30">
                        <c:v>32</c:v>
                      </c:pt>
                      <c:pt idx="31">
                        <c:v>33</c:v>
                      </c:pt>
                      <c:pt idx="32">
                        <c:v>34</c:v>
                      </c:pt>
                      <c:pt idx="33">
                        <c:v>35</c:v>
                      </c:pt>
                      <c:pt idx="34">
                        <c:v>36</c:v>
                      </c:pt>
                      <c:pt idx="35">
                        <c:v>37</c:v>
                      </c:pt>
                      <c:pt idx="36">
                        <c:v>38</c:v>
                      </c:pt>
                      <c:pt idx="37">
                        <c:v>39</c:v>
                      </c:pt>
                      <c:pt idx="38">
                        <c:v>40</c:v>
                      </c:pt>
                      <c:pt idx="39">
                        <c:v>41</c:v>
                      </c:pt>
                      <c:pt idx="40">
                        <c:v>42</c:v>
                      </c:pt>
                      <c:pt idx="41">
                        <c:v>43</c:v>
                      </c:pt>
                      <c:pt idx="42">
                        <c:v>44</c:v>
                      </c:pt>
                      <c:pt idx="43">
                        <c:v>45</c:v>
                      </c:pt>
                      <c:pt idx="44">
                        <c:v>46</c:v>
                      </c:pt>
                      <c:pt idx="45">
                        <c:v>47</c:v>
                      </c:pt>
                      <c:pt idx="46">
                        <c:v>48</c:v>
                      </c:pt>
                      <c:pt idx="47">
                        <c:v>49</c:v>
                      </c:pt>
                      <c:pt idx="48">
                        <c:v>50</c:v>
                      </c:pt>
                      <c:pt idx="49">
                        <c:v>51</c:v>
                      </c:pt>
                      <c:pt idx="50">
                        <c:v>52</c:v>
                      </c:pt>
                      <c:pt idx="51">
                        <c:v>53</c:v>
                      </c:pt>
                      <c:pt idx="52">
                        <c:v>54</c:v>
                      </c:pt>
                      <c:pt idx="53">
                        <c:v>55</c:v>
                      </c:pt>
                      <c:pt idx="54">
                        <c:v>56</c:v>
                      </c:pt>
                      <c:pt idx="55">
                        <c:v>57</c:v>
                      </c:pt>
                      <c:pt idx="56">
                        <c:v>58</c:v>
                      </c:pt>
                      <c:pt idx="57">
                        <c:v>59</c:v>
                      </c:pt>
                      <c:pt idx="58">
                        <c:v>60</c:v>
                      </c:pt>
                      <c:pt idx="59">
                        <c:v>61</c:v>
                      </c:pt>
                      <c:pt idx="60">
                        <c:v>62</c:v>
                      </c:pt>
                      <c:pt idx="61">
                        <c:v>63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FA3F-4D34-A96A-D5BD8F9924E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t.potegowy!$G$1</c15:sqref>
                        </c15:formulaRef>
                      </c:ext>
                    </c:extLst>
                    <c:strCache>
                      <c:ptCount val="1"/>
                      <c:pt idx="0">
                        <c:v>gva-trend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t.potegowy!$A$2:$A$63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t.potegowy!$G$2:$G$63</c15:sqref>
                        </c15:formulaRef>
                      </c:ext>
                    </c:extLst>
                    <c:numCache>
                      <c:formatCode>#\ ##0.0</c:formatCode>
                      <c:ptCount val="62"/>
                      <c:pt idx="0">
                        <c:v>6119.8287033593879</c:v>
                      </c:pt>
                      <c:pt idx="1">
                        <c:v>7536.1836735002653</c:v>
                      </c:pt>
                      <c:pt idx="2">
                        <c:v>6470.0375215339664</c:v>
                      </c:pt>
                      <c:pt idx="3">
                        <c:v>7835.8074021310458</c:v>
                      </c:pt>
                      <c:pt idx="4">
                        <c:v>847.5938512742141</c:v>
                      </c:pt>
                      <c:pt idx="5">
                        <c:v>3433.5431388108263</c:v>
                      </c:pt>
                      <c:pt idx="6">
                        <c:v>3143.9777826624413</c:v>
                      </c:pt>
                      <c:pt idx="7">
                        <c:v>2081.1925713088131</c:v>
                      </c:pt>
                      <c:pt idx="8">
                        <c:v>-3098.7065284203054</c:v>
                      </c:pt>
                      <c:pt idx="9">
                        <c:v>-938.53005173520069</c:v>
                      </c:pt>
                      <c:pt idx="10">
                        <c:v>-384.96433125474869</c:v>
                      </c:pt>
                      <c:pt idx="11">
                        <c:v>-441.64714875599748</c:v>
                      </c:pt>
                      <c:pt idx="12">
                        <c:v>-5322.3524401057875</c:v>
                      </c:pt>
                      <c:pt idx="13">
                        <c:v>-2352.5802923176525</c:v>
                      </c:pt>
                      <c:pt idx="14">
                        <c:v>-1347.6501770597679</c:v>
                      </c:pt>
                      <c:pt idx="15">
                        <c:v>-1666.2962401158147</c:v>
                      </c:pt>
                      <c:pt idx="16">
                        <c:v>-5865.9639399721782</c:v>
                      </c:pt>
                      <c:pt idx="17">
                        <c:v>-3350.1075968973528</c:v>
                      </c:pt>
                      <c:pt idx="18">
                        <c:v>-1764.4885717343059</c:v>
                      </c:pt>
                      <c:pt idx="19">
                        <c:v>-2036.3738897207513</c:v>
                      </c:pt>
                      <c:pt idx="20">
                        <c:v>-5810.1351849084313</c:v>
                      </c:pt>
                      <c:pt idx="21">
                        <c:v>-3343.7478795381976</c:v>
                      </c:pt>
                      <c:pt idx="22">
                        <c:v>-2453.6905382836267</c:v>
                      </c:pt>
                      <c:pt idx="23">
                        <c:v>-1893.2443544727794</c:v>
                      </c:pt>
                      <c:pt idx="24">
                        <c:v>-6824.192737189238</c:v>
                      </c:pt>
                      <c:pt idx="25">
                        <c:v>-4117.4209763807157</c:v>
                      </c:pt>
                      <c:pt idx="26">
                        <c:v>-2317.0159689333304</c:v>
                      </c:pt>
                      <c:pt idx="27">
                        <c:v>-2930.9659928608016</c:v>
                      </c:pt>
                      <c:pt idx="28">
                        <c:v>-6043.3605198108708</c:v>
                      </c:pt>
                      <c:pt idx="29">
                        <c:v>-3510.590058342721</c:v>
                      </c:pt>
                      <c:pt idx="30">
                        <c:v>-755.44602210776065</c:v>
                      </c:pt>
                      <c:pt idx="31">
                        <c:v>-3047.6206183316026</c:v>
                      </c:pt>
                      <c:pt idx="32">
                        <c:v>-5976.5067529572625</c:v>
                      </c:pt>
                      <c:pt idx="33">
                        <c:v>-2837.0979495493884</c:v>
                      </c:pt>
                      <c:pt idx="34">
                        <c:v>-293.98827963146323</c:v>
                      </c:pt>
                      <c:pt idx="35">
                        <c:v>-2338.8723025747386</c:v>
                      </c:pt>
                      <c:pt idx="36">
                        <c:v>-5449.3450135093881</c:v>
                      </c:pt>
                      <c:pt idx="37">
                        <c:v>-1599.001798006524</c:v>
                      </c:pt>
                      <c:pt idx="38">
                        <c:v>1400.9616074982841</c:v>
                      </c:pt>
                      <c:pt idx="39">
                        <c:v>-1649.6508496087554</c:v>
                      </c:pt>
                      <c:pt idx="40">
                        <c:v>-5716.6355076159598</c:v>
                      </c:pt>
                      <c:pt idx="41">
                        <c:v>-7642.5889635743006</c:v>
                      </c:pt>
                      <c:pt idx="42">
                        <c:v>-2968.0080494811773</c:v>
                      </c:pt>
                      <c:pt idx="43">
                        <c:v>-4419.3898111425951</c:v>
                      </c:pt>
                      <c:pt idx="44">
                        <c:v>-6488.6314893597737</c:v>
                      </c:pt>
                      <c:pt idx="45">
                        <c:v>-2970.6305031405354</c:v>
                      </c:pt>
                      <c:pt idx="46">
                        <c:v>2041.5155653208494</c:v>
                      </c:pt>
                      <c:pt idx="47">
                        <c:v>492.80898411411908</c:v>
                      </c:pt>
                      <c:pt idx="48">
                        <c:v>-1532.2481162782351</c:v>
                      </c:pt>
                      <c:pt idx="49">
                        <c:v>2874.6462679280667</c:v>
                      </c:pt>
                      <c:pt idx="50">
                        <c:v>8399.9940236680268</c:v>
                      </c:pt>
                      <c:pt idx="51">
                        <c:v>5765.0969299378703</c:v>
                      </c:pt>
                      <c:pt idx="52">
                        <c:v>2187.3566658719647</c:v>
                      </c:pt>
                      <c:pt idx="53">
                        <c:v>6538.5748180782975</c:v>
                      </c:pt>
                      <c:pt idx="54">
                        <c:v>11483.252887312636</c:v>
                      </c:pt>
                      <c:pt idx="55">
                        <c:v>8453.8922945615632</c:v>
                      </c:pt>
                      <c:pt idx="56">
                        <c:v>3944.4943865962632</c:v>
                      </c:pt>
                      <c:pt idx="57">
                        <c:v>9046.1604410511864</c:v>
                      </c:pt>
                      <c:pt idx="58">
                        <c:v>14117.19167107575</c:v>
                      </c:pt>
                      <c:pt idx="59">
                        <c:v>10981.189229601288</c:v>
                      </c:pt>
                      <c:pt idx="60">
                        <c:v>5954.9542132607967</c:v>
                      </c:pt>
                      <c:pt idx="61">
                        <c:v>11765.087665994964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A3F-4D34-A96A-D5BD8F9924EF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t.potegowy!$H$1</c15:sqref>
                        </c15:formulaRef>
                      </c:ext>
                    </c:extLst>
                    <c:strCache>
                      <c:ptCount val="1"/>
                      <c:pt idx="0">
                        <c:v>(gva-trend)^2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t.potegowy!$A$2:$A$63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t.potegowy!$H$2:$H$63</c15:sqref>
                        </c15:formulaRef>
                      </c:ext>
                    </c:extLst>
                    <c:numCache>
                      <c:formatCode>#\ ##0.0</c:formatCode>
                      <c:ptCount val="62"/>
                      <c:pt idx="0">
                        <c:v>37452303.358461447</c:v>
                      </c:pt>
                      <c:pt idx="1">
                        <c:v>56794064.360731952</c:v>
                      </c:pt>
                      <c:pt idx="2">
                        <c:v>41861385.530057393</c:v>
                      </c:pt>
                      <c:pt idx="3">
                        <c:v>61399877.643291689</c:v>
                      </c:pt>
                      <c:pt idx="4">
                        <c:v>718415.3367178546</c:v>
                      </c:pt>
                      <c:pt idx="5">
                        <c:v>11789218.486074902</c:v>
                      </c:pt>
                      <c:pt idx="6">
                        <c:v>9884596.2978750411</c:v>
                      </c:pt>
                      <c:pt idx="7">
                        <c:v>4331362.5188709889</c:v>
                      </c:pt>
                      <c:pt idx="8">
                        <c:v>9601982.1492746212</c:v>
                      </c:pt>
                      <c:pt idx="9">
                        <c:v>880838.65801007848</c:v>
                      </c:pt>
                      <c:pt idx="10">
                        <c:v>148197.53633841587</c:v>
                      </c:pt>
                      <c:pt idx="11">
                        <c:v>195052.20400430216</c:v>
                      </c:pt>
                      <c:pt idx="12">
                        <c:v>28327435.49670003</c:v>
                      </c:pt>
                      <c:pt idx="13">
                        <c:v>5534634.031801411</c:v>
                      </c:pt>
                      <c:pt idx="14">
                        <c:v>1816160.9997292238</c:v>
                      </c:pt>
                      <c:pt idx="15">
                        <c:v>2776543.1598241008</c:v>
                      </c:pt>
                      <c:pt idx="16">
                        <c:v>34409532.94505392</c:v>
                      </c:pt>
                      <c:pt idx="17">
                        <c:v>11223220.910789356</c:v>
                      </c:pt>
                      <c:pt idx="18">
                        <c:v>3113419.9197809706</c:v>
                      </c:pt>
                      <c:pt idx="19">
                        <c:v>4146818.6187364226</c:v>
                      </c:pt>
                      <c:pt idx="20">
                        <c:v>33757670.866910927</c:v>
                      </c:pt>
                      <c:pt idx="21">
                        <c:v>11180649.881916193</c:v>
                      </c:pt>
                      <c:pt idx="22">
                        <c:v>6020597.2576625934</c:v>
                      </c:pt>
                      <c:pt idx="23">
                        <c:v>3584374.1857430511</c:v>
                      </c:pt>
                      <c:pt idx="24">
                        <c:v>46569606.514306344</c:v>
                      </c:pt>
                      <c:pt idx="25">
                        <c:v>16953155.496739928</c:v>
                      </c:pt>
                      <c:pt idx="26">
                        <c:v>5368563.00029206</c:v>
                      </c:pt>
                      <c:pt idx="27">
                        <c:v>8590561.6513065044</c:v>
                      </c:pt>
                      <c:pt idx="28">
                        <c:v>36522206.372408718</c:v>
                      </c:pt>
                      <c:pt idx="29">
                        <c:v>12324242.55773475</c:v>
                      </c:pt>
                      <c:pt idx="30">
                        <c:v>570698.69231843925</c:v>
                      </c:pt>
                      <c:pt idx="31">
                        <c:v>9287991.4332798999</c:v>
                      </c:pt>
                      <c:pt idx="32">
                        <c:v>35718632.968143761</c:v>
                      </c:pt>
                      <c:pt idx="33">
                        <c:v>8049124.775337344</c:v>
                      </c:pt>
                      <c:pt idx="34">
                        <c:v>86429.108560667417</c:v>
                      </c:pt>
                      <c:pt idx="35">
                        <c:v>5470323.6477512596</c:v>
                      </c:pt>
                      <c:pt idx="36">
                        <c:v>29695361.076259632</c:v>
                      </c:pt>
                      <c:pt idx="37">
                        <c:v>2556806.7500280966</c:v>
                      </c:pt>
                      <c:pt idx="38">
                        <c:v>1962693.4256841764</c:v>
                      </c:pt>
                      <c:pt idx="39">
                        <c:v>2721347.9256148883</c:v>
                      </c:pt>
                      <c:pt idx="40">
                        <c:v>32679921.526935581</c:v>
                      </c:pt>
                      <c:pt idx="41">
                        <c:v>58409166.0661477</c:v>
                      </c:pt>
                      <c:pt idx="42">
                        <c:v>8809071.7817850634</c:v>
                      </c:pt>
                      <c:pt idx="43">
                        <c:v>19531006.302830983</c:v>
                      </c:pt>
                      <c:pt idx="44">
                        <c:v>42102338.604711235</c:v>
                      </c:pt>
                      <c:pt idx="45">
                        <c:v>8824645.5861889906</c:v>
                      </c:pt>
                      <c:pt idx="46">
                        <c:v>4167785.8034473076</c:v>
                      </c:pt>
                      <c:pt idx="47">
                        <c:v>242860.69482359008</c:v>
                      </c:pt>
                      <c:pt idx="48">
                        <c:v>2347784.2898382</c:v>
                      </c:pt>
                      <c:pt idx="49">
                        <c:v>8263591.1657127617</c:v>
                      </c:pt>
                      <c:pt idx="50">
                        <c:v>70559899.59765856</c:v>
                      </c:pt>
                      <c:pt idx="51">
                        <c:v>33236342.611579057</c:v>
                      </c:pt>
                      <c:pt idx="52">
                        <c:v>4784529.1837345175</c:v>
                      </c:pt>
                      <c:pt idx="53">
                        <c:v>42752960.65160764</c:v>
                      </c:pt>
                      <c:pt idx="54">
                        <c:v>131865096.87397398</c:v>
                      </c:pt>
                      <c:pt idx="55">
                        <c:v>71468294.928047374</c:v>
                      </c:pt>
                      <c:pt idx="56">
                        <c:v>15559035.965889432</c:v>
                      </c:pt>
                      <c:pt idx="57">
                        <c:v>81833018.725239396</c:v>
                      </c:pt>
                      <c:pt idx="58">
                        <c:v>199295100.67789054</c:v>
                      </c:pt>
                      <c:pt idx="59">
                        <c:v>120586516.89631134</c:v>
                      </c:pt>
                      <c:pt idx="60">
                        <c:v>35461479.682032511</c:v>
                      </c:pt>
                      <c:pt idx="61">
                        <c:v>138417287.78854683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FA3F-4D34-A96A-D5BD8F9924EF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t.potegowy!$I$1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t.potegowy!$A$2:$A$63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t.potegowy!$I$2:$I$63</c15:sqref>
                        </c15:formulaRef>
                      </c:ext>
                    </c:extLst>
                    <c:numCache>
                      <c:formatCode>#\ ##0.0</c:formatCode>
                      <c:ptCount val="62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FA3F-4D34-A96A-D5BD8F9924EF}"/>
                  </c:ext>
                </c:extLst>
              </c15:ser>
            </c15:filteredLineSeries>
          </c:ext>
        </c:extLst>
      </c:lineChart>
      <c:catAx>
        <c:axId val="818987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818985855"/>
        <c:crosses val="autoZero"/>
        <c:auto val="0"/>
        <c:lblAlgn val="ctr"/>
        <c:lblOffset val="700"/>
        <c:tickLblSkip val="1"/>
        <c:noMultiLvlLbl val="0"/>
      </c:catAx>
      <c:valAx>
        <c:axId val="81898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818987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597003499562554"/>
          <c:y val="6.0185185185185182E-2"/>
          <c:w val="0.8334744094488189"/>
          <c:h val="0.79224482356372117"/>
        </c:manualLayout>
      </c:layout>
      <c:lineChart>
        <c:grouping val="standard"/>
        <c:varyColors val="0"/>
        <c:ser>
          <c:idx val="0"/>
          <c:order val="0"/>
          <c:tx>
            <c:strRef>
              <c:f>t.wykładniczy!$B$1</c:f>
              <c:strCache>
                <c:ptCount val="1"/>
                <c:pt idx="0">
                  <c:v>GVA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t.wykładniczy!$A$2:$A$63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t.wykładniczy!$B$2:$B$63</c:f>
              <c:numCache>
                <c:formatCode>#\ ##0.0</c:formatCode>
                <c:ptCount val="62"/>
                <c:pt idx="0">
                  <c:v>48489.7</c:v>
                </c:pt>
                <c:pt idx="1">
                  <c:v>49856.6</c:v>
                </c:pt>
                <c:pt idx="2">
                  <c:v>48755.4</c:v>
                </c:pt>
                <c:pt idx="3">
                  <c:v>50094</c:v>
                </c:pt>
                <c:pt idx="4">
                  <c:v>43083.6</c:v>
                </c:pt>
                <c:pt idx="5">
                  <c:v>45650.8</c:v>
                </c:pt>
                <c:pt idx="6">
                  <c:v>45345</c:v>
                </c:pt>
                <c:pt idx="7">
                  <c:v>44267.9</c:v>
                </c:pt>
                <c:pt idx="8">
                  <c:v>39075.199999999997</c:v>
                </c:pt>
                <c:pt idx="9">
                  <c:v>41223.800000000003</c:v>
                </c:pt>
                <c:pt idx="10">
                  <c:v>41766.800000000003</c:v>
                </c:pt>
                <c:pt idx="11">
                  <c:v>41700.400000000001</c:v>
                </c:pt>
                <c:pt idx="12">
                  <c:v>36810.699999999997</c:v>
                </c:pt>
                <c:pt idx="13">
                  <c:v>39772.1</c:v>
                </c:pt>
                <c:pt idx="14">
                  <c:v>40769.199999999997</c:v>
                </c:pt>
                <c:pt idx="15">
                  <c:v>40443.199999999997</c:v>
                </c:pt>
                <c:pt idx="16">
                  <c:v>36236.6</c:v>
                </c:pt>
                <c:pt idx="17">
                  <c:v>38745.9</c:v>
                </c:pt>
                <c:pt idx="18">
                  <c:v>40325.300000000003</c:v>
                </c:pt>
                <c:pt idx="19">
                  <c:v>40047.5</c:v>
                </c:pt>
                <c:pt idx="20">
                  <c:v>36268.1</c:v>
                </c:pt>
                <c:pt idx="21">
                  <c:v>38729.1</c:v>
                </c:pt>
                <c:pt idx="22">
                  <c:v>39614</c:v>
                </c:pt>
                <c:pt idx="23">
                  <c:v>40169.5</c:v>
                </c:pt>
                <c:pt idx="24">
                  <c:v>35233.800000000003</c:v>
                </c:pt>
                <c:pt idx="25">
                  <c:v>37936</c:v>
                </c:pt>
                <c:pt idx="26">
                  <c:v>39732</c:v>
                </c:pt>
                <c:pt idx="27">
                  <c:v>39113.800000000003</c:v>
                </c:pt>
                <c:pt idx="28">
                  <c:v>35997.300000000003</c:v>
                </c:pt>
                <c:pt idx="29">
                  <c:v>38526.1</c:v>
                </c:pt>
                <c:pt idx="30">
                  <c:v>41277.4</c:v>
                </c:pt>
                <c:pt idx="31">
                  <c:v>38981.5</c:v>
                </c:pt>
                <c:pt idx="32">
                  <c:v>36049</c:v>
                </c:pt>
                <c:pt idx="33">
                  <c:v>39184.9</c:v>
                </c:pt>
                <c:pt idx="34">
                  <c:v>41724.6</c:v>
                </c:pt>
                <c:pt idx="35">
                  <c:v>39676.400000000001</c:v>
                </c:pt>
                <c:pt idx="36">
                  <c:v>36562.699999999997</c:v>
                </c:pt>
                <c:pt idx="37">
                  <c:v>40409.9</c:v>
                </c:pt>
                <c:pt idx="38">
                  <c:v>43406.8</c:v>
                </c:pt>
                <c:pt idx="39">
                  <c:v>40353.199999999997</c:v>
                </c:pt>
                <c:pt idx="40">
                  <c:v>36283.300000000003</c:v>
                </c:pt>
                <c:pt idx="41">
                  <c:v>34354.5</c:v>
                </c:pt>
                <c:pt idx="42">
                  <c:v>39026.300000000003</c:v>
                </c:pt>
                <c:pt idx="43">
                  <c:v>37572.199999999997</c:v>
                </c:pt>
                <c:pt idx="44">
                  <c:v>35500.300000000003</c:v>
                </c:pt>
                <c:pt idx="45">
                  <c:v>39015.699999999997</c:v>
                </c:pt>
                <c:pt idx="46">
                  <c:v>44025.3</c:v>
                </c:pt>
                <c:pt idx="47">
                  <c:v>42474.1</c:v>
                </c:pt>
                <c:pt idx="48">
                  <c:v>40446.6</c:v>
                </c:pt>
                <c:pt idx="49">
                  <c:v>44851.1</c:v>
                </c:pt>
                <c:pt idx="50">
                  <c:v>50374.1</c:v>
                </c:pt>
                <c:pt idx="51">
                  <c:v>47736.9</c:v>
                </c:pt>
                <c:pt idx="52">
                  <c:v>44156.9</c:v>
                </c:pt>
                <c:pt idx="53">
                  <c:v>48505.9</c:v>
                </c:pt>
                <c:pt idx="54">
                  <c:v>53448.4</c:v>
                </c:pt>
                <c:pt idx="55">
                  <c:v>50416.9</c:v>
                </c:pt>
                <c:pt idx="56">
                  <c:v>45905.4</c:v>
                </c:pt>
                <c:pt idx="57">
                  <c:v>51005</c:v>
                </c:pt>
                <c:pt idx="58">
                  <c:v>56074</c:v>
                </c:pt>
                <c:pt idx="59">
                  <c:v>52936</c:v>
                </c:pt>
                <c:pt idx="60">
                  <c:v>47907.8</c:v>
                </c:pt>
                <c:pt idx="61">
                  <c:v>53716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4A-4AC5-8CE0-22C5280834C1}"/>
            </c:ext>
          </c:extLst>
        </c:ser>
        <c:ser>
          <c:idx val="4"/>
          <c:order val="4"/>
          <c:tx>
            <c:strRef>
              <c:f>t.wykładniczy!$F$1</c:f>
              <c:strCache>
                <c:ptCount val="1"/>
                <c:pt idx="0">
                  <c:v>y^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t.wykładniczy!$A$2:$A$63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t.wykładniczy!$F$2:$F$63</c:f>
              <c:numCache>
                <c:formatCode>#\ ##0.0</c:formatCode>
                <c:ptCount val="62"/>
                <c:pt idx="0">
                  <c:v>39736.717048661259</c:v>
                </c:pt>
                <c:pt idx="1">
                  <c:v>39810.813517455637</c:v>
                </c:pt>
                <c:pt idx="2">
                  <c:v>39885.048152839961</c:v>
                </c:pt>
                <c:pt idx="3">
                  <c:v>39959.4212124513</c:v>
                </c:pt>
                <c:pt idx="4">
                  <c:v>40033.932954407326</c:v>
                </c:pt>
                <c:pt idx="5">
                  <c:v>40108.583637306969</c:v>
                </c:pt>
                <c:pt idx="6">
                  <c:v>40183.373520231333</c:v>
                </c:pt>
                <c:pt idx="7">
                  <c:v>40258.302862744669</c:v>
                </c:pt>
                <c:pt idx="8">
                  <c:v>40333.371924895189</c:v>
                </c:pt>
                <c:pt idx="9">
                  <c:v>40408.580967216054</c:v>
                </c:pt>
                <c:pt idx="10">
                  <c:v>40483.930250726276</c:v>
                </c:pt>
                <c:pt idx="11">
                  <c:v>40559.420036931384</c:v>
                </c:pt>
                <c:pt idx="12">
                  <c:v>40635.050587824757</c:v>
                </c:pt>
                <c:pt idx="13">
                  <c:v>40710.822165888225</c:v>
                </c:pt>
                <c:pt idx="14">
                  <c:v>40786.735034093064</c:v>
                </c:pt>
                <c:pt idx="15">
                  <c:v>40862.789455900915</c:v>
                </c:pt>
                <c:pt idx="16">
                  <c:v>40938.985695264681</c:v>
                </c:pt>
                <c:pt idx="17">
                  <c:v>41015.324016629471</c:v>
                </c:pt>
                <c:pt idx="18">
                  <c:v>41091.804684933559</c:v>
                </c:pt>
                <c:pt idx="19">
                  <c:v>41168.427965609037</c:v>
                </c:pt>
                <c:pt idx="20">
                  <c:v>41245.194124583155</c:v>
                </c:pt>
                <c:pt idx="21">
                  <c:v>41322.10342827897</c:v>
                </c:pt>
                <c:pt idx="22">
                  <c:v>41399.156143616317</c:v>
                </c:pt>
                <c:pt idx="23">
                  <c:v>41476.352538012776</c:v>
                </c:pt>
                <c:pt idx="24">
                  <c:v>41553.692879384551</c:v>
                </c:pt>
                <c:pt idx="25">
                  <c:v>41631.177436147453</c:v>
                </c:pt>
                <c:pt idx="26">
                  <c:v>41708.806477217855</c:v>
                </c:pt>
                <c:pt idx="27">
                  <c:v>41786.580272013358</c:v>
                </c:pt>
                <c:pt idx="28">
                  <c:v>41864.499090454177</c:v>
                </c:pt>
                <c:pt idx="29">
                  <c:v>41942.563202963756</c:v>
                </c:pt>
                <c:pt idx="30">
                  <c:v>42020.772880469791</c:v>
                </c:pt>
                <c:pt idx="31">
                  <c:v>42099.128394405183</c:v>
                </c:pt>
                <c:pt idx="32">
                  <c:v>42177.630016708965</c:v>
                </c:pt>
                <c:pt idx="33">
                  <c:v>42256.278019827252</c:v>
                </c:pt>
                <c:pt idx="34">
                  <c:v>42335.072676714262</c:v>
                </c:pt>
                <c:pt idx="35">
                  <c:v>42414.014260832955</c:v>
                </c:pt>
                <c:pt idx="36">
                  <c:v>42493.103046156451</c:v>
                </c:pt>
                <c:pt idx="37">
                  <c:v>42572.339307168644</c:v>
                </c:pt>
                <c:pt idx="38">
                  <c:v>42651.72331886529</c:v>
                </c:pt>
                <c:pt idx="39">
                  <c:v>42731.255356754889</c:v>
                </c:pt>
                <c:pt idx="40">
                  <c:v>42810.935696859706</c:v>
                </c:pt>
                <c:pt idx="41">
                  <c:v>42890.764615716682</c:v>
                </c:pt>
                <c:pt idx="42">
                  <c:v>42970.742390378502</c:v>
                </c:pt>
                <c:pt idx="43">
                  <c:v>43050.869298414225</c:v>
                </c:pt>
                <c:pt idx="44">
                  <c:v>43131.145617910734</c:v>
                </c:pt>
                <c:pt idx="45">
                  <c:v>43211.571627473357</c:v>
                </c:pt>
                <c:pt idx="46">
                  <c:v>43292.147606226958</c:v>
                </c:pt>
                <c:pt idx="47">
                  <c:v>43372.87383381687</c:v>
                </c:pt>
                <c:pt idx="48">
                  <c:v>43453.75059040988</c:v>
                </c:pt>
                <c:pt idx="49">
                  <c:v>43534.778156695182</c:v>
                </c:pt>
                <c:pt idx="50">
                  <c:v>43615.956813885467</c:v>
                </c:pt>
                <c:pt idx="51">
                  <c:v>43697.286843717549</c:v>
                </c:pt>
                <c:pt idx="52">
                  <c:v>43778.768528453838</c:v>
                </c:pt>
                <c:pt idx="53">
                  <c:v>43860.402150882997</c:v>
                </c:pt>
                <c:pt idx="54">
                  <c:v>43942.187994320986</c:v>
                </c:pt>
                <c:pt idx="55">
                  <c:v>44024.126342612079</c:v>
                </c:pt>
                <c:pt idx="56">
                  <c:v>44106.21748012981</c:v>
                </c:pt>
                <c:pt idx="57">
                  <c:v>44188.461691777993</c:v>
                </c:pt>
                <c:pt idx="58">
                  <c:v>44270.859262991784</c:v>
                </c:pt>
                <c:pt idx="59">
                  <c:v>44353.410479738333</c:v>
                </c:pt>
                <c:pt idx="60">
                  <c:v>44436.115628518273</c:v>
                </c:pt>
                <c:pt idx="61">
                  <c:v>44518.974996366393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4A-4AC5-8CE0-22C5280834C1}"/>
            </c:ext>
          </c:extLst>
        </c:ser>
        <c:ser>
          <c:idx val="8"/>
          <c:order val="8"/>
          <c:tx>
            <c:strRef>
              <c:f>t.wykładniczy!$J$1</c:f>
              <c:strCache>
                <c:ptCount val="1"/>
                <c:pt idx="0">
                  <c:v>Przyrost kwartalny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t.wykładniczy!$A$2:$A$63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t.wykładniczy!$J$2:$J$63</c:f>
              <c:numCache>
                <c:formatCode>General</c:formatCode>
                <c:ptCount val="62"/>
                <c:pt idx="1">
                  <c:v>1366.9000000000015</c:v>
                </c:pt>
                <c:pt idx="2">
                  <c:v>-1101.1999999999971</c:v>
                </c:pt>
                <c:pt idx="3">
                  <c:v>1338.5999999999985</c:v>
                </c:pt>
                <c:pt idx="4">
                  <c:v>-7010.4000000000015</c:v>
                </c:pt>
                <c:pt idx="5">
                  <c:v>2567.2000000000044</c:v>
                </c:pt>
                <c:pt idx="6">
                  <c:v>-305.80000000000291</c:v>
                </c:pt>
                <c:pt idx="7">
                  <c:v>-1077.0999999999985</c:v>
                </c:pt>
                <c:pt idx="8">
                  <c:v>-5192.7000000000044</c:v>
                </c:pt>
                <c:pt idx="9">
                  <c:v>2148.6000000000058</c:v>
                </c:pt>
                <c:pt idx="10">
                  <c:v>543</c:v>
                </c:pt>
                <c:pt idx="11">
                  <c:v>-66.400000000001455</c:v>
                </c:pt>
                <c:pt idx="12">
                  <c:v>-4889.7000000000044</c:v>
                </c:pt>
                <c:pt idx="13">
                  <c:v>2961.4000000000015</c:v>
                </c:pt>
                <c:pt idx="14">
                  <c:v>997.09999999999854</c:v>
                </c:pt>
                <c:pt idx="15">
                  <c:v>-326</c:v>
                </c:pt>
                <c:pt idx="16">
                  <c:v>-4206.5999999999985</c:v>
                </c:pt>
                <c:pt idx="17">
                  <c:v>2509.3000000000029</c:v>
                </c:pt>
                <c:pt idx="18">
                  <c:v>1579.4000000000015</c:v>
                </c:pt>
                <c:pt idx="19">
                  <c:v>-277.80000000000291</c:v>
                </c:pt>
                <c:pt idx="20">
                  <c:v>-3779.4000000000015</c:v>
                </c:pt>
                <c:pt idx="21">
                  <c:v>2461</c:v>
                </c:pt>
                <c:pt idx="22">
                  <c:v>884.90000000000146</c:v>
                </c:pt>
                <c:pt idx="23">
                  <c:v>555.5</c:v>
                </c:pt>
                <c:pt idx="24">
                  <c:v>-4935.6999999999971</c:v>
                </c:pt>
                <c:pt idx="25">
                  <c:v>2702.1999999999971</c:v>
                </c:pt>
                <c:pt idx="26">
                  <c:v>1796</c:v>
                </c:pt>
                <c:pt idx="27">
                  <c:v>-618.19999999999709</c:v>
                </c:pt>
                <c:pt idx="28">
                  <c:v>-3116.5</c:v>
                </c:pt>
                <c:pt idx="29">
                  <c:v>2528.7999999999956</c:v>
                </c:pt>
                <c:pt idx="30">
                  <c:v>2751.3000000000029</c:v>
                </c:pt>
                <c:pt idx="31">
                  <c:v>-2295.9000000000015</c:v>
                </c:pt>
                <c:pt idx="32">
                  <c:v>-2932.5</c:v>
                </c:pt>
                <c:pt idx="33">
                  <c:v>3135.9000000000015</c:v>
                </c:pt>
                <c:pt idx="34">
                  <c:v>2539.6999999999971</c:v>
                </c:pt>
                <c:pt idx="35">
                  <c:v>-2048.1999999999971</c:v>
                </c:pt>
                <c:pt idx="36">
                  <c:v>-3113.7000000000044</c:v>
                </c:pt>
                <c:pt idx="37">
                  <c:v>3847.2000000000044</c:v>
                </c:pt>
                <c:pt idx="38">
                  <c:v>2996.9000000000015</c:v>
                </c:pt>
                <c:pt idx="39">
                  <c:v>-3053.6000000000058</c:v>
                </c:pt>
                <c:pt idx="40">
                  <c:v>-4069.8999999999942</c:v>
                </c:pt>
                <c:pt idx="41">
                  <c:v>-1928.8000000000029</c:v>
                </c:pt>
                <c:pt idx="42">
                  <c:v>4671.8000000000029</c:v>
                </c:pt>
                <c:pt idx="43">
                  <c:v>-1454.1000000000058</c:v>
                </c:pt>
                <c:pt idx="44">
                  <c:v>-2071.8999999999942</c:v>
                </c:pt>
                <c:pt idx="45">
                  <c:v>3515.3999999999942</c:v>
                </c:pt>
                <c:pt idx="46">
                  <c:v>5009.6000000000058</c:v>
                </c:pt>
                <c:pt idx="47">
                  <c:v>-1551.2000000000044</c:v>
                </c:pt>
                <c:pt idx="48">
                  <c:v>-2027.5</c:v>
                </c:pt>
                <c:pt idx="49">
                  <c:v>4404.5</c:v>
                </c:pt>
                <c:pt idx="50">
                  <c:v>5523</c:v>
                </c:pt>
                <c:pt idx="51">
                  <c:v>-2637.1999999999971</c:v>
                </c:pt>
                <c:pt idx="52">
                  <c:v>-3580</c:v>
                </c:pt>
                <c:pt idx="53">
                  <c:v>4349</c:v>
                </c:pt>
                <c:pt idx="54">
                  <c:v>4942.5</c:v>
                </c:pt>
                <c:pt idx="55">
                  <c:v>-3031.5</c:v>
                </c:pt>
                <c:pt idx="56">
                  <c:v>-4511.5</c:v>
                </c:pt>
                <c:pt idx="57">
                  <c:v>5099.5999999999985</c:v>
                </c:pt>
                <c:pt idx="58">
                  <c:v>5069</c:v>
                </c:pt>
                <c:pt idx="59">
                  <c:v>-3138</c:v>
                </c:pt>
                <c:pt idx="60">
                  <c:v>-5028.1999999999971</c:v>
                </c:pt>
                <c:pt idx="61">
                  <c:v>5808.1999999999971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4A-4AC5-8CE0-22C5280834C1}"/>
            </c:ext>
          </c:extLst>
        </c:ser>
        <c:ser>
          <c:idx val="9"/>
          <c:order val="9"/>
          <c:tx>
            <c:strRef>
              <c:f>t.wykładniczy!$K$1</c:f>
              <c:strCache>
                <c:ptCount val="1"/>
                <c:pt idx="0">
                  <c:v>Wahania losowe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t.wykładniczy!$A$2:$A$63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t.wykładniczy!$K$2:$K$63</c:f>
              <c:numCache>
                <c:formatCode>General</c:formatCode>
                <c:ptCount val="62"/>
                <c:pt idx="1">
                  <c:v>-1539.2152083333322</c:v>
                </c:pt>
                <c:pt idx="2">
                  <c:v>-3408.6152083333309</c:v>
                </c:pt>
                <c:pt idx="3">
                  <c:v>2711.8331249999992</c:v>
                </c:pt>
                <c:pt idx="4">
                  <c:v>-3170.1027083333347</c:v>
                </c:pt>
                <c:pt idx="5">
                  <c:v>-338.91520833332925</c:v>
                </c:pt>
                <c:pt idx="6">
                  <c:v>-2613.2152083333367</c:v>
                </c:pt>
                <c:pt idx="7">
                  <c:v>296.13312500000234</c:v>
                </c:pt>
                <c:pt idx="8">
                  <c:v>-1352.4027083333376</c:v>
                </c:pt>
                <c:pt idx="9">
                  <c:v>-757.51520833332779</c:v>
                </c:pt>
                <c:pt idx="10">
                  <c:v>-1764.4152083333338</c:v>
                </c:pt>
                <c:pt idx="11">
                  <c:v>1306.8331249999994</c:v>
                </c:pt>
                <c:pt idx="12">
                  <c:v>-1049.4027083333376</c:v>
                </c:pt>
                <c:pt idx="13">
                  <c:v>55.284791666667843</c:v>
                </c:pt>
                <c:pt idx="14">
                  <c:v>-1310.3152083333352</c:v>
                </c:pt>
                <c:pt idx="15">
                  <c:v>1047.2331250000009</c:v>
                </c:pt>
                <c:pt idx="16">
                  <c:v>-366.30270833333179</c:v>
                </c:pt>
                <c:pt idx="17">
                  <c:v>-396.8152083333307</c:v>
                </c:pt>
                <c:pt idx="18">
                  <c:v>-728.01520833333234</c:v>
                </c:pt>
                <c:pt idx="19">
                  <c:v>1095.433124999998</c:v>
                </c:pt>
                <c:pt idx="20">
                  <c:v>60.897291666665296</c:v>
                </c:pt>
                <c:pt idx="21">
                  <c:v>-445.11520833333361</c:v>
                </c:pt>
                <c:pt idx="22">
                  <c:v>-1422.5152083333323</c:v>
                </c:pt>
                <c:pt idx="23">
                  <c:v>1928.7331250000009</c:v>
                </c:pt>
                <c:pt idx="24">
                  <c:v>-1095.4027083333303</c:v>
                </c:pt>
                <c:pt idx="25">
                  <c:v>-203.91520833333652</c:v>
                </c:pt>
                <c:pt idx="26">
                  <c:v>-511.41520833333379</c:v>
                </c:pt>
                <c:pt idx="27">
                  <c:v>755.03312500000379</c:v>
                </c:pt>
                <c:pt idx="28">
                  <c:v>723.79729166666675</c:v>
                </c:pt>
                <c:pt idx="29">
                  <c:v>-377.31520833333798</c:v>
                </c:pt>
                <c:pt idx="30">
                  <c:v>443.88479166666912</c:v>
                </c:pt>
                <c:pt idx="31">
                  <c:v>-922.66687500000057</c:v>
                </c:pt>
                <c:pt idx="32">
                  <c:v>907.79729166666675</c:v>
                </c:pt>
                <c:pt idx="33">
                  <c:v>229.78479166666784</c:v>
                </c:pt>
                <c:pt idx="34">
                  <c:v>232.2847916666633</c:v>
                </c:pt>
                <c:pt idx="35">
                  <c:v>-674.96687499999621</c:v>
                </c:pt>
                <c:pt idx="36">
                  <c:v>726.59729166666239</c:v>
                </c:pt>
                <c:pt idx="37">
                  <c:v>941.08479166667075</c:v>
                </c:pt>
                <c:pt idx="38">
                  <c:v>689.48479166666766</c:v>
                </c:pt>
                <c:pt idx="39">
                  <c:v>-1680.3668750000049</c:v>
                </c:pt>
                <c:pt idx="40">
                  <c:v>-229.60270833332743</c:v>
                </c:pt>
                <c:pt idx="41">
                  <c:v>-4834.9152083333365</c:v>
                </c:pt>
                <c:pt idx="42">
                  <c:v>2364.3847916666691</c:v>
                </c:pt>
                <c:pt idx="43">
                  <c:v>-80.866875000004939</c:v>
                </c:pt>
                <c:pt idx="44">
                  <c:v>1768.3972916666726</c:v>
                </c:pt>
                <c:pt idx="45">
                  <c:v>609.28479166666057</c:v>
                </c:pt>
                <c:pt idx="46">
                  <c:v>2702.184791666672</c:v>
                </c:pt>
                <c:pt idx="47">
                  <c:v>-177.96687500000348</c:v>
                </c:pt>
                <c:pt idx="48">
                  <c:v>1812.7972916666668</c:v>
                </c:pt>
                <c:pt idx="49">
                  <c:v>1498.3847916666664</c:v>
                </c:pt>
                <c:pt idx="50">
                  <c:v>3215.5847916666662</c:v>
                </c:pt>
                <c:pt idx="51">
                  <c:v>-1263.9668749999962</c:v>
                </c:pt>
                <c:pt idx="52">
                  <c:v>260.29729166666675</c:v>
                </c:pt>
                <c:pt idx="53">
                  <c:v>1442.8847916666664</c:v>
                </c:pt>
                <c:pt idx="54">
                  <c:v>2635.0847916666662</c:v>
                </c:pt>
                <c:pt idx="55">
                  <c:v>-1658.2668749999991</c:v>
                </c:pt>
                <c:pt idx="56">
                  <c:v>-671.20270833333325</c:v>
                </c:pt>
                <c:pt idx="57">
                  <c:v>2193.4847916666649</c:v>
                </c:pt>
                <c:pt idx="58">
                  <c:v>2761.5847916666662</c:v>
                </c:pt>
                <c:pt idx="59">
                  <c:v>-1764.7668749999991</c:v>
                </c:pt>
                <c:pt idx="60">
                  <c:v>-1187.9027083333303</c:v>
                </c:pt>
                <c:pt idx="61">
                  <c:v>2902.0847916666635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84A-4AC5-8CE0-22C5280834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8987295"/>
        <c:axId val="818985855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t.wykładniczy!$C$1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t.wykładniczy!$A$2:$A$63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t.wykładniczy!$C$2:$C$63</c15:sqref>
                        </c15:formulaRef>
                      </c:ext>
                    </c:extLst>
                    <c:numCache>
                      <c:formatCode>#\ ##0.0</c:formatCode>
                      <c:ptCount val="6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584A-4AC5-8CE0-22C5280834C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t.wykładniczy!$D$1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t.wykładniczy!$A$2:$A$63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t.wykładniczy!$D$2:$D$63</c15:sqref>
                        </c15:formulaRef>
                      </c:ext>
                    </c:extLst>
                    <c:numCache>
                      <c:formatCode>#,##0</c:formatCode>
                      <c:ptCount val="62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</c:v>
                      </c:pt>
                      <c:pt idx="38">
                        <c:v>1</c:v>
                      </c:pt>
                      <c:pt idx="39">
                        <c:v>1</c:v>
                      </c:pt>
                      <c:pt idx="40">
                        <c:v>1</c:v>
                      </c:pt>
                      <c:pt idx="41">
                        <c:v>1</c:v>
                      </c:pt>
                      <c:pt idx="42">
                        <c:v>1</c:v>
                      </c:pt>
                      <c:pt idx="43">
                        <c:v>1</c:v>
                      </c:pt>
                      <c:pt idx="44">
                        <c:v>1</c:v>
                      </c:pt>
                      <c:pt idx="45">
                        <c:v>1</c:v>
                      </c:pt>
                      <c:pt idx="46">
                        <c:v>1</c:v>
                      </c:pt>
                      <c:pt idx="47">
                        <c:v>1</c:v>
                      </c:pt>
                      <c:pt idx="48">
                        <c:v>1</c:v>
                      </c:pt>
                      <c:pt idx="49">
                        <c:v>1</c:v>
                      </c:pt>
                      <c:pt idx="50">
                        <c:v>1</c:v>
                      </c:pt>
                      <c:pt idx="51">
                        <c:v>1</c:v>
                      </c:pt>
                      <c:pt idx="52">
                        <c:v>1</c:v>
                      </c:pt>
                      <c:pt idx="53">
                        <c:v>1</c:v>
                      </c:pt>
                      <c:pt idx="54">
                        <c:v>1</c:v>
                      </c:pt>
                      <c:pt idx="55">
                        <c:v>1</c:v>
                      </c:pt>
                      <c:pt idx="56">
                        <c:v>1</c:v>
                      </c:pt>
                      <c:pt idx="57">
                        <c:v>1</c:v>
                      </c:pt>
                      <c:pt idx="58">
                        <c:v>1</c:v>
                      </c:pt>
                      <c:pt idx="59">
                        <c:v>1</c:v>
                      </c:pt>
                      <c:pt idx="60">
                        <c:v>1</c:v>
                      </c:pt>
                      <c:pt idx="6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84A-4AC5-8CE0-22C5280834C1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t.wykładniczy!$E$1</c15:sqref>
                        </c15:formulaRef>
                      </c:ext>
                    </c:extLst>
                    <c:strCache>
                      <c:ptCount val="1"/>
                      <c:pt idx="0">
                        <c:v>t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t.wykładniczy!$A$2:$A$63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t.wykładniczy!$E$2:$E$63</c15:sqref>
                        </c15:formulaRef>
                      </c:ext>
                    </c:extLst>
                    <c:numCache>
                      <c:formatCode>#,##0</c:formatCode>
                      <c:ptCount val="62"/>
                      <c:pt idx="0">
                        <c:v>2</c:v>
                      </c:pt>
                      <c:pt idx="1">
                        <c:v>3</c:v>
                      </c:pt>
                      <c:pt idx="2">
                        <c:v>4</c:v>
                      </c:pt>
                      <c:pt idx="3">
                        <c:v>5</c:v>
                      </c:pt>
                      <c:pt idx="4">
                        <c:v>6</c:v>
                      </c:pt>
                      <c:pt idx="5">
                        <c:v>7</c:v>
                      </c:pt>
                      <c:pt idx="6">
                        <c:v>8</c:v>
                      </c:pt>
                      <c:pt idx="7">
                        <c:v>9</c:v>
                      </c:pt>
                      <c:pt idx="8">
                        <c:v>10</c:v>
                      </c:pt>
                      <c:pt idx="9">
                        <c:v>11</c:v>
                      </c:pt>
                      <c:pt idx="10">
                        <c:v>12</c:v>
                      </c:pt>
                      <c:pt idx="11">
                        <c:v>13</c:v>
                      </c:pt>
                      <c:pt idx="12">
                        <c:v>14</c:v>
                      </c:pt>
                      <c:pt idx="13">
                        <c:v>15</c:v>
                      </c:pt>
                      <c:pt idx="14">
                        <c:v>16</c:v>
                      </c:pt>
                      <c:pt idx="15">
                        <c:v>17</c:v>
                      </c:pt>
                      <c:pt idx="16">
                        <c:v>18</c:v>
                      </c:pt>
                      <c:pt idx="17">
                        <c:v>19</c:v>
                      </c:pt>
                      <c:pt idx="18">
                        <c:v>20</c:v>
                      </c:pt>
                      <c:pt idx="19">
                        <c:v>21</c:v>
                      </c:pt>
                      <c:pt idx="20">
                        <c:v>22</c:v>
                      </c:pt>
                      <c:pt idx="21">
                        <c:v>23</c:v>
                      </c:pt>
                      <c:pt idx="22">
                        <c:v>24</c:v>
                      </c:pt>
                      <c:pt idx="23">
                        <c:v>25</c:v>
                      </c:pt>
                      <c:pt idx="24">
                        <c:v>26</c:v>
                      </c:pt>
                      <c:pt idx="25">
                        <c:v>27</c:v>
                      </c:pt>
                      <c:pt idx="26">
                        <c:v>28</c:v>
                      </c:pt>
                      <c:pt idx="27">
                        <c:v>29</c:v>
                      </c:pt>
                      <c:pt idx="28">
                        <c:v>30</c:v>
                      </c:pt>
                      <c:pt idx="29">
                        <c:v>31</c:v>
                      </c:pt>
                      <c:pt idx="30">
                        <c:v>32</c:v>
                      </c:pt>
                      <c:pt idx="31">
                        <c:v>33</c:v>
                      </c:pt>
                      <c:pt idx="32">
                        <c:v>34</c:v>
                      </c:pt>
                      <c:pt idx="33">
                        <c:v>35</c:v>
                      </c:pt>
                      <c:pt idx="34">
                        <c:v>36</c:v>
                      </c:pt>
                      <c:pt idx="35">
                        <c:v>37</c:v>
                      </c:pt>
                      <c:pt idx="36">
                        <c:v>38</c:v>
                      </c:pt>
                      <c:pt idx="37">
                        <c:v>39</c:v>
                      </c:pt>
                      <c:pt idx="38">
                        <c:v>40</c:v>
                      </c:pt>
                      <c:pt idx="39">
                        <c:v>41</c:v>
                      </c:pt>
                      <c:pt idx="40">
                        <c:v>42</c:v>
                      </c:pt>
                      <c:pt idx="41">
                        <c:v>43</c:v>
                      </c:pt>
                      <c:pt idx="42">
                        <c:v>44</c:v>
                      </c:pt>
                      <c:pt idx="43">
                        <c:v>45</c:v>
                      </c:pt>
                      <c:pt idx="44">
                        <c:v>46</c:v>
                      </c:pt>
                      <c:pt idx="45">
                        <c:v>47</c:v>
                      </c:pt>
                      <c:pt idx="46">
                        <c:v>48</c:v>
                      </c:pt>
                      <c:pt idx="47">
                        <c:v>49</c:v>
                      </c:pt>
                      <c:pt idx="48">
                        <c:v>50</c:v>
                      </c:pt>
                      <c:pt idx="49">
                        <c:v>51</c:v>
                      </c:pt>
                      <c:pt idx="50">
                        <c:v>52</c:v>
                      </c:pt>
                      <c:pt idx="51">
                        <c:v>53</c:v>
                      </c:pt>
                      <c:pt idx="52">
                        <c:v>54</c:v>
                      </c:pt>
                      <c:pt idx="53">
                        <c:v>55</c:v>
                      </c:pt>
                      <c:pt idx="54">
                        <c:v>56</c:v>
                      </c:pt>
                      <c:pt idx="55">
                        <c:v>57</c:v>
                      </c:pt>
                      <c:pt idx="56">
                        <c:v>58</c:v>
                      </c:pt>
                      <c:pt idx="57">
                        <c:v>59</c:v>
                      </c:pt>
                      <c:pt idx="58">
                        <c:v>60</c:v>
                      </c:pt>
                      <c:pt idx="59">
                        <c:v>61</c:v>
                      </c:pt>
                      <c:pt idx="60">
                        <c:v>62</c:v>
                      </c:pt>
                      <c:pt idx="61">
                        <c:v>63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84A-4AC5-8CE0-22C5280834C1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t.wykładniczy!$G$1</c15:sqref>
                        </c15:formulaRef>
                      </c:ext>
                    </c:extLst>
                    <c:strCache>
                      <c:ptCount val="1"/>
                      <c:pt idx="0">
                        <c:v>gva-trend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t.wykładniczy!$A$2:$A$63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t.wykładniczy!$G$2:$G$63</c15:sqref>
                        </c15:formulaRef>
                      </c:ext>
                    </c:extLst>
                    <c:numCache>
                      <c:formatCode>#\ ##0.0</c:formatCode>
                      <c:ptCount val="62"/>
                      <c:pt idx="0">
                        <c:v>8752.9829513387376</c:v>
                      </c:pt>
                      <c:pt idx="1">
                        <c:v>10045.786482544361</c:v>
                      </c:pt>
                      <c:pt idx="2">
                        <c:v>8870.3518471600401</c:v>
                      </c:pt>
                      <c:pt idx="3">
                        <c:v>10134.5787875487</c:v>
                      </c:pt>
                      <c:pt idx="4">
                        <c:v>3049.6670455926724</c:v>
                      </c:pt>
                      <c:pt idx="5">
                        <c:v>5542.2163626930342</c:v>
                      </c:pt>
                      <c:pt idx="6">
                        <c:v>5161.6264797686672</c:v>
                      </c:pt>
                      <c:pt idx="7">
                        <c:v>4009.5971372553322</c:v>
                      </c:pt>
                      <c:pt idx="8">
                        <c:v>-1258.1719248951922</c:v>
                      </c:pt>
                      <c:pt idx="9">
                        <c:v>815.21903278394893</c:v>
                      </c:pt>
                      <c:pt idx="10">
                        <c:v>1282.8697492737265</c:v>
                      </c:pt>
                      <c:pt idx="11">
                        <c:v>1140.9799630686175</c:v>
                      </c:pt>
                      <c:pt idx="12">
                        <c:v>-3824.3505878247597</c:v>
                      </c:pt>
                      <c:pt idx="13">
                        <c:v>-938.7221658882263</c:v>
                      </c:pt>
                      <c:pt idx="14">
                        <c:v>-17.535034093067225</c:v>
                      </c:pt>
                      <c:pt idx="15">
                        <c:v>-419.58945590091753</c:v>
                      </c:pt>
                      <c:pt idx="16">
                        <c:v>-4702.385695264682</c:v>
                      </c:pt>
                      <c:pt idx="17">
                        <c:v>-2269.4240166294694</c:v>
                      </c:pt>
                      <c:pt idx="18">
                        <c:v>-766.50468493355584</c:v>
                      </c:pt>
                      <c:pt idx="19">
                        <c:v>-1120.9279656090366</c:v>
                      </c:pt>
                      <c:pt idx="20">
                        <c:v>-4977.0941245831564</c:v>
                      </c:pt>
                      <c:pt idx="21">
                        <c:v>-2593.0034282789711</c:v>
                      </c:pt>
                      <c:pt idx="22">
                        <c:v>-1785.1561436163174</c:v>
                      </c:pt>
                      <c:pt idx="23">
                        <c:v>-1306.8525380127758</c:v>
                      </c:pt>
                      <c:pt idx="24">
                        <c:v>-6319.892879384548</c:v>
                      </c:pt>
                      <c:pt idx="25">
                        <c:v>-3695.1774361474527</c:v>
                      </c:pt>
                      <c:pt idx="26">
                        <c:v>-1976.806477217855</c:v>
                      </c:pt>
                      <c:pt idx="27">
                        <c:v>-2672.780272013355</c:v>
                      </c:pt>
                      <c:pt idx="28">
                        <c:v>-5867.1990904541744</c:v>
                      </c:pt>
                      <c:pt idx="29">
                        <c:v>-3416.4632029637578</c:v>
                      </c:pt>
                      <c:pt idx="30">
                        <c:v>-743.37288046978938</c:v>
                      </c:pt>
                      <c:pt idx="31">
                        <c:v>-3117.6283944051829</c:v>
                      </c:pt>
                      <c:pt idx="32">
                        <c:v>-6128.6300167089648</c:v>
                      </c:pt>
                      <c:pt idx="33">
                        <c:v>-3071.3780198272507</c:v>
                      </c:pt>
                      <c:pt idx="34">
                        <c:v>-610.4726767142638</c:v>
                      </c:pt>
                      <c:pt idx="35">
                        <c:v>-2737.6142608329537</c:v>
                      </c:pt>
                      <c:pt idx="36">
                        <c:v>-5930.4030461564544</c:v>
                      </c:pt>
                      <c:pt idx="37">
                        <c:v>-2162.4393071686427</c:v>
                      </c:pt>
                      <c:pt idx="38">
                        <c:v>755.076681134713</c:v>
                      </c:pt>
                      <c:pt idx="39">
                        <c:v>-2378.0553567548923</c:v>
                      </c:pt>
                      <c:pt idx="40">
                        <c:v>-6527.6356968597029</c:v>
                      </c:pt>
                      <c:pt idx="41">
                        <c:v>-8536.2646157166819</c:v>
                      </c:pt>
                      <c:pt idx="42">
                        <c:v>-3944.4423903784991</c:v>
                      </c:pt>
                      <c:pt idx="43">
                        <c:v>-5478.6692984142283</c:v>
                      </c:pt>
                      <c:pt idx="44">
                        <c:v>-7630.8456179107307</c:v>
                      </c:pt>
                      <c:pt idx="45">
                        <c:v>-4195.8716274733597</c:v>
                      </c:pt>
                      <c:pt idx="46">
                        <c:v>733.15239377304533</c:v>
                      </c:pt>
                      <c:pt idx="47">
                        <c:v>-898.77383381687105</c:v>
                      </c:pt>
                      <c:pt idx="48">
                        <c:v>-3007.1505904098813</c:v>
                      </c:pt>
                      <c:pt idx="49">
                        <c:v>1316.3218433048169</c:v>
                      </c:pt>
                      <c:pt idx="50">
                        <c:v>6758.143186114532</c:v>
                      </c:pt>
                      <c:pt idx="51">
                        <c:v>4039.6131562824521</c:v>
                      </c:pt>
                      <c:pt idx="52">
                        <c:v>378.13147154616308</c:v>
                      </c:pt>
                      <c:pt idx="53">
                        <c:v>4645.4978491170041</c:v>
                      </c:pt>
                      <c:pt idx="54">
                        <c:v>9506.2120056790154</c:v>
                      </c:pt>
                      <c:pt idx="55">
                        <c:v>6392.7736573879229</c:v>
                      </c:pt>
                      <c:pt idx="56">
                        <c:v>1799.1825198701918</c:v>
                      </c:pt>
                      <c:pt idx="57">
                        <c:v>6816.5383082220069</c:v>
                      </c:pt>
                      <c:pt idx="58">
                        <c:v>11803.140737008216</c:v>
                      </c:pt>
                      <c:pt idx="59">
                        <c:v>8582.5895202616666</c:v>
                      </c:pt>
                      <c:pt idx="60">
                        <c:v>3471.6843714817296</c:v>
                      </c:pt>
                      <c:pt idx="61">
                        <c:v>9197.0250036336074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84A-4AC5-8CE0-22C5280834C1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t.wykładniczy!$H$1</c15:sqref>
                        </c15:formulaRef>
                      </c:ext>
                    </c:extLst>
                    <c:strCache>
                      <c:ptCount val="1"/>
                      <c:pt idx="0">
                        <c:v>(gva-trend)^2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t.wykładniczy!$A$2:$A$63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t.wykładniczy!$H$2:$H$63</c15:sqref>
                        </c15:formulaRef>
                      </c:ext>
                    </c:extLst>
                    <c:numCache>
                      <c:formatCode>#\ ##0.0</c:formatCode>
                      <c:ptCount val="62"/>
                      <c:pt idx="0">
                        <c:v>76614710.546426594</c:v>
                      </c:pt>
                      <c:pt idx="1">
                        <c:v>100917826.052871</c:v>
                      </c:pt>
                      <c:pt idx="2">
                        <c:v>78683141.892415538</c:v>
                      </c:pt>
                      <c:pt idx="3">
                        <c:v>102709687.20103209</c:v>
                      </c:pt>
                      <c:pt idx="4">
                        <c:v>9300469.0889739394</c:v>
                      </c:pt>
                      <c:pt idx="5">
                        <c:v>30716162.210902404</c:v>
                      </c:pt>
                      <c:pt idx="6">
                        <c:v>26642387.916649085</c:v>
                      </c:pt>
                      <c:pt idx="7">
                        <c:v>16076869.203086155</c:v>
                      </c:pt>
                      <c:pt idx="8">
                        <c:v>1582996.5925944732</c:v>
                      </c:pt>
                      <c:pt idx="9">
                        <c:v>664582.07141319721</c:v>
                      </c:pt>
                      <c:pt idx="10">
                        <c:v>1645754.7936016337</c:v>
                      </c:pt>
                      <c:pt idx="11">
                        <c:v>1301835.2761240639</c:v>
                      </c:pt>
                      <c:pt idx="12">
                        <c:v>14625657.418595586</c:v>
                      </c:pt>
                      <c:pt idx="13">
                        <c:v>881199.30472988263</c:v>
                      </c:pt>
                      <c:pt idx="14">
                        <c:v>307.47742064502989</c:v>
                      </c:pt>
                      <c:pt idx="15">
                        <c:v>176055.311503228</c:v>
                      </c:pt>
                      <c:pt idx="16">
                        <c:v>22112431.227029908</c:v>
                      </c:pt>
                      <c:pt idx="17">
                        <c:v>5150285.3672546344</c:v>
                      </c:pt>
                      <c:pt idx="18">
                        <c:v>587529.43202508974</c:v>
                      </c:pt>
                      <c:pt idx="19">
                        <c:v>1256479.5040844136</c:v>
                      </c:pt>
                      <c:pt idx="20">
                        <c:v>24771465.924960177</c:v>
                      </c:pt>
                      <c:pt idx="21">
                        <c:v>6723666.7790664975</c:v>
                      </c:pt>
                      <c:pt idx="22">
                        <c:v>3186782.4570910819</c:v>
                      </c:pt>
                      <c:pt idx="23">
                        <c:v>1707863.5561104335</c:v>
                      </c:pt>
                      <c:pt idx="24">
                        <c:v>39941046.006895512</c:v>
                      </c:pt>
                      <c:pt idx="25">
                        <c:v>13654336.284613261</c:v>
                      </c:pt>
                      <c:pt idx="26">
                        <c:v>3907763.8483704659</c:v>
                      </c:pt>
                      <c:pt idx="27">
                        <c:v>7143754.382463784</c:v>
                      </c:pt>
                      <c:pt idx="28">
                        <c:v>34424025.167026289</c:v>
                      </c:pt>
                      <c:pt idx="29">
                        <c:v>11672220.817205379</c:v>
                      </c:pt>
                      <c:pt idx="30">
                        <c:v>552603.23941795179</c:v>
                      </c:pt>
                      <c:pt idx="31">
                        <c:v>9719606.8056014385</c:v>
                      </c:pt>
                      <c:pt idx="32">
                        <c:v>37560105.881706126</c:v>
                      </c:pt>
                      <c:pt idx="33">
                        <c:v>9433362.9406779632</c:v>
                      </c:pt>
                      <c:pt idx="34">
                        <c:v>372676.88901467802</c:v>
                      </c:pt>
                      <c:pt idx="35">
                        <c:v>7494531.8411159599</c:v>
                      </c:pt>
                      <c:pt idx="36">
                        <c:v>35169680.289861754</c:v>
                      </c:pt>
                      <c:pt idx="37">
                        <c:v>4676143.7571879998</c:v>
                      </c:pt>
                      <c:pt idx="38">
                        <c:v>570140.794393413</c:v>
                      </c:pt>
                      <c:pt idx="39">
                        <c:v>5655147.279790638</c:v>
                      </c:pt>
                      <c:pt idx="40">
                        <c:v>42610027.790917061</c:v>
                      </c:pt>
                      <c:pt idx="41">
                        <c:v>72867813.589536667</c:v>
                      </c:pt>
                      <c:pt idx="42">
                        <c:v>15558625.771014849</c:v>
                      </c:pt>
                      <c:pt idx="43">
                        <c:v>30015817.281386651</c:v>
                      </c:pt>
                      <c:pt idx="44">
                        <c:v>58229804.844387397</c:v>
                      </c:pt>
                      <c:pt idx="45">
                        <c:v>17605338.714235939</c:v>
                      </c:pt>
                      <c:pt idx="46">
                        <c:v>537512.43249514652</c:v>
                      </c:pt>
                      <c:pt idx="47">
                        <c:v>807794.40435387648</c:v>
                      </c:pt>
                      <c:pt idx="48">
                        <c:v>9042954.6734024975</c:v>
                      </c:pt>
                      <c:pt idx="49">
                        <c:v>1732703.1951613908</c:v>
                      </c:pt>
                      <c:pt idx="50">
                        <c:v>45672499.324026279</c:v>
                      </c:pt>
                      <c:pt idx="51">
                        <c:v>16318474.452410275</c:v>
                      </c:pt>
                      <c:pt idx="52">
                        <c:v>142983.40977366673</c:v>
                      </c:pt>
                      <c:pt idx="53">
                        <c:v>21580650.266150713</c:v>
                      </c:pt>
                      <c:pt idx="54">
                        <c:v>90368066.69691585</c:v>
                      </c:pt>
                      <c:pt idx="55">
                        <c:v>40867555.034592956</c:v>
                      </c:pt>
                      <c:pt idx="56">
                        <c:v>3237057.7398064528</c:v>
                      </c:pt>
                      <c:pt idx="57">
                        <c:v>46465194.507458143</c:v>
                      </c:pt>
                      <c:pt idx="58">
                        <c:v>139314131.25762287</c:v>
                      </c:pt>
                      <c:pt idx="59">
                        <c:v>73660842.87330538</c:v>
                      </c:pt>
                      <c:pt idx="60">
                        <c:v>12052592.375190493</c:v>
                      </c:pt>
                      <c:pt idx="61">
                        <c:v>84585268.917461753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84A-4AC5-8CE0-22C5280834C1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t.wykładniczy!$I$1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t.wykładniczy!$A$2:$A$63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t.wykładniczy!$I$2:$I$63</c15:sqref>
                        </c15:formulaRef>
                      </c:ext>
                    </c:extLst>
                    <c:numCache>
                      <c:formatCode>#\ ##0.0</c:formatCode>
                      <c:ptCount val="62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584A-4AC5-8CE0-22C5280834C1}"/>
                  </c:ext>
                </c:extLst>
              </c15:ser>
            </c15:filteredLineSeries>
          </c:ext>
        </c:extLst>
      </c:lineChart>
      <c:catAx>
        <c:axId val="818987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818985855"/>
        <c:crosses val="autoZero"/>
        <c:auto val="0"/>
        <c:lblAlgn val="ctr"/>
        <c:lblOffset val="500"/>
        <c:tickLblSkip val="1"/>
        <c:noMultiLvlLbl val="0"/>
      </c:catAx>
      <c:valAx>
        <c:axId val="81898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818987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76199</xdr:colOff>
      <xdr:row>9</xdr:row>
      <xdr:rowOff>140968</xdr:rowOff>
    </xdr:from>
    <xdr:to>
      <xdr:col>40</xdr:col>
      <xdr:colOff>439271</xdr:colOff>
      <xdr:row>39</xdr:row>
      <xdr:rowOff>152399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80607B86-54ED-3A09-017D-59DEC3B6D8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129988</xdr:colOff>
      <xdr:row>8</xdr:row>
      <xdr:rowOff>188261</xdr:rowOff>
    </xdr:from>
    <xdr:to>
      <xdr:col>37</xdr:col>
      <xdr:colOff>143435</xdr:colOff>
      <xdr:row>40</xdr:row>
      <xdr:rowOff>134471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A3AD2252-FA2B-73EF-3B2D-2E67C85D92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133002</xdr:colOff>
      <xdr:row>7</xdr:row>
      <xdr:rowOff>172836</xdr:rowOff>
    </xdr:from>
    <xdr:to>
      <xdr:col>29</xdr:col>
      <xdr:colOff>574270</xdr:colOff>
      <xdr:row>41</xdr:row>
      <xdr:rowOff>22860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2FFAFE0E-9921-1F95-5E76-421EF345E5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76199</xdr:colOff>
      <xdr:row>9</xdr:row>
      <xdr:rowOff>140968</xdr:rowOff>
    </xdr:from>
    <xdr:to>
      <xdr:col>46</xdr:col>
      <xdr:colOff>143436</xdr:colOff>
      <xdr:row>40</xdr:row>
      <xdr:rowOff>89647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7EB8F80D-27E1-4D91-B649-62C853E401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76198</xdr:colOff>
      <xdr:row>9</xdr:row>
      <xdr:rowOff>140968</xdr:rowOff>
    </xdr:from>
    <xdr:to>
      <xdr:col>46</xdr:col>
      <xdr:colOff>116541</xdr:colOff>
      <xdr:row>42</xdr:row>
      <xdr:rowOff>98612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60B2B76E-C820-4CDA-B13C-D698710F4E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11</xdr:col>
      <xdr:colOff>248535</xdr:colOff>
      <xdr:row>23</xdr:row>
      <xdr:rowOff>82488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CF981EEA-C4A7-8081-4AFC-F2E3AB5352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82880"/>
          <a:ext cx="6344535" cy="4105848"/>
        </a:xfrm>
        <a:prstGeom prst="rect">
          <a:avLst/>
        </a:prstGeom>
      </xdr:spPr>
    </xdr:pic>
    <xdr:clientData/>
  </xdr:twoCellAnchor>
  <xdr:twoCellAnchor editAs="oneCell">
    <xdr:from>
      <xdr:col>11</xdr:col>
      <xdr:colOff>419100</xdr:colOff>
      <xdr:row>0</xdr:row>
      <xdr:rowOff>144780</xdr:rowOff>
    </xdr:from>
    <xdr:to>
      <xdr:col>22</xdr:col>
      <xdr:colOff>162825</xdr:colOff>
      <xdr:row>25</xdr:row>
      <xdr:rowOff>126365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D992EC05-427E-3DDB-155C-2B6B12F5C1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124700" y="144780"/>
          <a:ext cx="6449325" cy="4553585"/>
        </a:xfrm>
        <a:prstGeom prst="rect">
          <a:avLst/>
        </a:prstGeom>
      </xdr:spPr>
    </xdr:pic>
    <xdr:clientData/>
  </xdr:twoCellAnchor>
  <xdr:twoCellAnchor editAs="oneCell">
    <xdr:from>
      <xdr:col>0</xdr:col>
      <xdr:colOff>350520</xdr:colOff>
      <xdr:row>23</xdr:row>
      <xdr:rowOff>121920</xdr:rowOff>
    </xdr:from>
    <xdr:to>
      <xdr:col>11</xdr:col>
      <xdr:colOff>256193</xdr:colOff>
      <xdr:row>53</xdr:row>
      <xdr:rowOff>113159</xdr:rowOff>
    </xdr:to>
    <xdr:pic>
      <xdr:nvPicPr>
        <xdr:cNvPr id="6" name="Obraz 5">
          <a:extLst>
            <a:ext uri="{FF2B5EF4-FFF2-40B4-BE49-F238E27FC236}">
              <a16:creationId xmlns:a16="http://schemas.microsoft.com/office/drawing/2014/main" id="{45100F6C-1684-3EB8-B157-7FF22C4EFC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50520" y="4328160"/>
          <a:ext cx="6611273" cy="5477639"/>
        </a:xfrm>
        <a:prstGeom prst="rect">
          <a:avLst/>
        </a:prstGeom>
      </xdr:spPr>
    </xdr:pic>
    <xdr:clientData/>
  </xdr:twoCellAnchor>
  <xdr:twoCellAnchor editAs="oneCell">
    <xdr:from>
      <xdr:col>0</xdr:col>
      <xdr:colOff>434340</xdr:colOff>
      <xdr:row>64</xdr:row>
      <xdr:rowOff>175260</xdr:rowOff>
    </xdr:from>
    <xdr:to>
      <xdr:col>11</xdr:col>
      <xdr:colOff>92328</xdr:colOff>
      <xdr:row>90</xdr:row>
      <xdr:rowOff>107334</xdr:rowOff>
    </xdr:to>
    <xdr:pic>
      <xdr:nvPicPr>
        <xdr:cNvPr id="8" name="Obraz 7">
          <a:extLst>
            <a:ext uri="{FF2B5EF4-FFF2-40B4-BE49-F238E27FC236}">
              <a16:creationId xmlns:a16="http://schemas.microsoft.com/office/drawing/2014/main" id="{5CDE6BC4-A548-C5C9-4995-15A34A130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34340" y="11879580"/>
          <a:ext cx="6363588" cy="4686954"/>
        </a:xfrm>
        <a:prstGeom prst="rect">
          <a:avLst/>
        </a:prstGeom>
      </xdr:spPr>
    </xdr:pic>
    <xdr:clientData/>
  </xdr:twoCellAnchor>
  <xdr:twoCellAnchor editAs="oneCell">
    <xdr:from>
      <xdr:col>11</xdr:col>
      <xdr:colOff>205740</xdr:colOff>
      <xdr:row>65</xdr:row>
      <xdr:rowOff>22860</xdr:rowOff>
    </xdr:from>
    <xdr:to>
      <xdr:col>21</xdr:col>
      <xdr:colOff>587644</xdr:colOff>
      <xdr:row>89</xdr:row>
      <xdr:rowOff>149220</xdr:rowOff>
    </xdr:to>
    <xdr:pic>
      <xdr:nvPicPr>
        <xdr:cNvPr id="9" name="Obraz 8">
          <a:extLst>
            <a:ext uri="{FF2B5EF4-FFF2-40B4-BE49-F238E27FC236}">
              <a16:creationId xmlns:a16="http://schemas.microsoft.com/office/drawing/2014/main" id="{54741BBC-B454-5245-8B48-F517E6A6E9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911340" y="11910060"/>
          <a:ext cx="6477904" cy="4515480"/>
        </a:xfrm>
        <a:prstGeom prst="rect">
          <a:avLst/>
        </a:prstGeom>
      </xdr:spPr>
    </xdr:pic>
    <xdr:clientData/>
  </xdr:twoCellAnchor>
  <xdr:twoCellAnchor editAs="oneCell">
    <xdr:from>
      <xdr:col>0</xdr:col>
      <xdr:colOff>297180</xdr:colOff>
      <xdr:row>91</xdr:row>
      <xdr:rowOff>15240</xdr:rowOff>
    </xdr:from>
    <xdr:to>
      <xdr:col>11</xdr:col>
      <xdr:colOff>21852</xdr:colOff>
      <xdr:row>115</xdr:row>
      <xdr:rowOff>132074</xdr:rowOff>
    </xdr:to>
    <xdr:pic>
      <xdr:nvPicPr>
        <xdr:cNvPr id="10" name="Obraz 9">
          <a:extLst>
            <a:ext uri="{FF2B5EF4-FFF2-40B4-BE49-F238E27FC236}">
              <a16:creationId xmlns:a16="http://schemas.microsoft.com/office/drawing/2014/main" id="{E8D09A04-05C1-E3D2-137B-8D8E36B87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97180" y="16657320"/>
          <a:ext cx="6430272" cy="45059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11614-926A-4CE9-B376-543C75F0537F}">
  <dimension ref="A1:BM96"/>
  <sheetViews>
    <sheetView zoomScaleNormal="100" workbookViewId="0"/>
  </sheetViews>
  <sheetFormatPr defaultRowHeight="14.4" x14ac:dyDescent="0.3"/>
  <cols>
    <col min="1" max="1" width="7" bestFit="1" customWidth="1"/>
    <col min="2" max="2" width="9" bestFit="1" customWidth="1"/>
    <col min="3" max="3" width="6.5546875" bestFit="1" customWidth="1"/>
    <col min="4" max="4" width="13.33203125" customWidth="1"/>
    <col min="5" max="5" width="16" customWidth="1"/>
    <col min="6" max="6" width="14.109375" customWidth="1"/>
    <col min="7" max="7" width="12.6640625" bestFit="1" customWidth="1"/>
    <col min="8" max="8" width="23.77734375" customWidth="1"/>
    <col min="9" max="9" width="15.88671875" customWidth="1"/>
    <col min="10" max="10" width="16.88671875" customWidth="1"/>
    <col min="11" max="11" width="14.21875" bestFit="1" customWidth="1"/>
    <col min="12" max="12" width="5.6640625" customWidth="1"/>
    <col min="13" max="13" width="6.21875" customWidth="1"/>
    <col min="14" max="14" width="6.77734375" customWidth="1"/>
    <col min="15" max="15" width="12.6640625" bestFit="1" customWidth="1"/>
    <col min="16" max="16" width="16.33203125" customWidth="1"/>
    <col min="17" max="17" width="8.33203125" customWidth="1"/>
    <col min="18" max="36" width="3" bestFit="1" customWidth="1"/>
    <col min="37" max="37" width="3.33203125" customWidth="1"/>
  </cols>
  <sheetData>
    <row r="1" spans="1:16" x14ac:dyDescent="0.3">
      <c r="A1" t="s">
        <v>0</v>
      </c>
      <c r="B1" t="s">
        <v>1</v>
      </c>
      <c r="E1" t="s">
        <v>50</v>
      </c>
      <c r="F1" t="s">
        <v>13</v>
      </c>
      <c r="G1" t="s">
        <v>14</v>
      </c>
      <c r="H1" t="s">
        <v>15</v>
      </c>
      <c r="J1" t="s">
        <v>2</v>
      </c>
      <c r="K1" t="s">
        <v>3</v>
      </c>
      <c r="O1" t="s">
        <v>4</v>
      </c>
    </row>
    <row r="2" spans="1:16" x14ac:dyDescent="0.3">
      <c r="A2">
        <v>2010.1</v>
      </c>
      <c r="B2" s="6">
        <v>48489.7</v>
      </c>
      <c r="C2" s="1"/>
      <c r="D2" s="2">
        <v>1</v>
      </c>
      <c r="E2" s="2">
        <v>2</v>
      </c>
      <c r="F2" s="1">
        <f t="shared" ref="F2:F35" si="0">$D$80+$D$81*E2</f>
        <v>39717.98371735782</v>
      </c>
      <c r="G2" s="1">
        <f t="shared" ref="G2:G63" si="1">B2-F2</f>
        <v>8771.7162826421772</v>
      </c>
      <c r="H2" s="1">
        <f t="shared" ref="H2:H63" si="2">G2^2</f>
        <v>76943006.543169901</v>
      </c>
      <c r="I2" s="1"/>
      <c r="O2" t="s">
        <v>5</v>
      </c>
      <c r="P2" t="s">
        <v>6</v>
      </c>
    </row>
    <row r="3" spans="1:16" x14ac:dyDescent="0.3">
      <c r="A3">
        <v>2010.2</v>
      </c>
      <c r="B3" s="6">
        <v>49856.6</v>
      </c>
      <c r="C3" s="1"/>
      <c r="D3" s="2">
        <v>1</v>
      </c>
      <c r="E3" s="2">
        <v>3</v>
      </c>
      <c r="F3" s="1">
        <f t="shared" si="0"/>
        <v>39805.040041801927</v>
      </c>
      <c r="G3" s="1">
        <f t="shared" si="1"/>
        <v>10051.559958198071</v>
      </c>
      <c r="H3" s="1">
        <f t="shared" si="2"/>
        <v>101033857.59325081</v>
      </c>
      <c r="I3" s="1"/>
      <c r="J3">
        <f t="shared" ref="J3:J63" si="3">B3-B2</f>
        <v>1366.9000000000015</v>
      </c>
      <c r="K3" s="24">
        <f>J3-$P$4</f>
        <v>-1539.2152083333322</v>
      </c>
      <c r="N3" t="s">
        <v>7</v>
      </c>
      <c r="O3" s="24">
        <f>AVERAGE(J6,J10,,J14,J18,J22,J26,J30,J34,J38,J42,J46,J50,J54,J58,J62)</f>
        <v>-3779.1374999999998</v>
      </c>
      <c r="P3" s="24">
        <f>O3-$O$8</f>
        <v>-3840.2972916666668</v>
      </c>
    </row>
    <row r="4" spans="1:16" x14ac:dyDescent="0.3">
      <c r="A4">
        <v>2010.3</v>
      </c>
      <c r="B4" s="6">
        <v>48755.4</v>
      </c>
      <c r="C4" s="1"/>
      <c r="D4" s="2">
        <v>1</v>
      </c>
      <c r="E4" s="2">
        <v>4</v>
      </c>
      <c r="F4" s="1">
        <f t="shared" si="0"/>
        <v>39892.096366246042</v>
      </c>
      <c r="G4" s="1">
        <f t="shared" si="1"/>
        <v>8863.3036337539597</v>
      </c>
      <c r="H4" s="1">
        <f t="shared" si="2"/>
        <v>78558151.304116145</v>
      </c>
      <c r="I4" s="1"/>
      <c r="J4">
        <f t="shared" si="3"/>
        <v>-1101.1999999999971</v>
      </c>
      <c r="K4" s="24">
        <f>J4-$P$5</f>
        <v>-3408.6152083333309</v>
      </c>
      <c r="N4" t="s">
        <v>8</v>
      </c>
      <c r="O4" s="24">
        <f>AVERAGE(J3,J7,J11,J15,J19,J23,J27,J31,J35,J39,J43,J47,J51,J55,J59,J63)</f>
        <v>2967.2750000000001</v>
      </c>
      <c r="P4" s="24">
        <f t="shared" ref="P4:P6" si="4">O4-$O$8</f>
        <v>2906.1152083333336</v>
      </c>
    </row>
    <row r="5" spans="1:16" x14ac:dyDescent="0.3">
      <c r="A5">
        <v>2010.4</v>
      </c>
      <c r="B5" s="6">
        <v>50094</v>
      </c>
      <c r="C5" s="1"/>
      <c r="D5" s="2">
        <v>1</v>
      </c>
      <c r="E5" s="2">
        <v>5</v>
      </c>
      <c r="F5" s="1">
        <f t="shared" si="0"/>
        <v>39979.152690690156</v>
      </c>
      <c r="G5" s="1">
        <f t="shared" si="1"/>
        <v>10114.847309309844</v>
      </c>
      <c r="H5" s="1">
        <f t="shared" si="2"/>
        <v>102310136.09065259</v>
      </c>
      <c r="I5" s="1"/>
      <c r="J5">
        <f t="shared" si="3"/>
        <v>1338.5999999999985</v>
      </c>
      <c r="K5" s="24">
        <f>J5-$P$6</f>
        <v>2711.8331249999992</v>
      </c>
      <c r="N5" t="s">
        <v>9</v>
      </c>
      <c r="O5" s="24">
        <f>AVERAGE(J4,J8,J12,,J16,J20,J24,J28,J32,J36,J40,J44,J48,J52,J56,J60)</f>
        <v>2368.5750000000007</v>
      </c>
      <c r="P5" s="24">
        <f t="shared" si="4"/>
        <v>2307.4152083333338</v>
      </c>
    </row>
    <row r="6" spans="1:16" x14ac:dyDescent="0.3">
      <c r="A6">
        <v>2011.1</v>
      </c>
      <c r="B6" s="6">
        <v>43083.6</v>
      </c>
      <c r="C6" s="1"/>
      <c r="D6" s="2">
        <v>1</v>
      </c>
      <c r="E6" s="2">
        <v>6</v>
      </c>
      <c r="F6" s="1">
        <f t="shared" si="0"/>
        <v>40066.209015134264</v>
      </c>
      <c r="G6" s="1">
        <f t="shared" si="1"/>
        <v>3017.3909848657349</v>
      </c>
      <c r="H6" s="1">
        <f t="shared" si="2"/>
        <v>9104648.3555490095</v>
      </c>
      <c r="I6" s="1"/>
      <c r="J6">
        <f t="shared" si="3"/>
        <v>-7010.4000000000015</v>
      </c>
      <c r="K6" s="24">
        <f>J6-$P$3</f>
        <v>-3170.1027083333347</v>
      </c>
      <c r="N6" t="s">
        <v>10</v>
      </c>
      <c r="O6" s="24">
        <f>AVERAGE(J5,J9,J13,J17,J21,J25,J29,J33,J37,J41,J45,J49,J53,J57,J61)</f>
        <v>-1312.0733333333342</v>
      </c>
      <c r="P6" s="24">
        <f t="shared" si="4"/>
        <v>-1373.2331250000009</v>
      </c>
    </row>
    <row r="7" spans="1:16" x14ac:dyDescent="0.3">
      <c r="A7">
        <v>2011.2</v>
      </c>
      <c r="B7" s="6">
        <v>45650.8</v>
      </c>
      <c r="C7" s="1"/>
      <c r="D7" s="2">
        <v>1</v>
      </c>
      <c r="E7" s="2">
        <v>7</v>
      </c>
      <c r="F7" s="1">
        <f t="shared" si="0"/>
        <v>40153.265339578371</v>
      </c>
      <c r="G7" s="1">
        <f t="shared" si="1"/>
        <v>5497.534660421632</v>
      </c>
      <c r="H7" s="1">
        <f t="shared" si="2"/>
        <v>30222887.342537187</v>
      </c>
      <c r="I7" s="1"/>
      <c r="J7">
        <f t="shared" si="3"/>
        <v>2567.2000000000044</v>
      </c>
      <c r="K7" s="24">
        <f>J7-$P$4</f>
        <v>-338.91520833332925</v>
      </c>
    </row>
    <row r="8" spans="1:16" x14ac:dyDescent="0.3">
      <c r="A8">
        <v>2011.3</v>
      </c>
      <c r="B8" s="6">
        <v>45345</v>
      </c>
      <c r="C8" s="1"/>
      <c r="D8" s="2">
        <v>1</v>
      </c>
      <c r="E8" s="2">
        <v>8</v>
      </c>
      <c r="F8" s="1">
        <f t="shared" si="0"/>
        <v>40240.321664022485</v>
      </c>
      <c r="G8" s="1">
        <f t="shared" si="1"/>
        <v>5104.6783359775145</v>
      </c>
      <c r="H8" s="1">
        <f t="shared" si="2"/>
        <v>26057740.913798168</v>
      </c>
      <c r="I8" s="1"/>
      <c r="J8">
        <f t="shared" si="3"/>
        <v>-305.80000000000291</v>
      </c>
      <c r="K8" s="24">
        <f>J8-$P$5</f>
        <v>-2613.2152083333367</v>
      </c>
      <c r="O8" s="24">
        <f>AVERAGE(O3:O6)</f>
        <v>61.159791666666706</v>
      </c>
      <c r="P8">
        <f>SUM(P3:P6)</f>
        <v>0</v>
      </c>
    </row>
    <row r="9" spans="1:16" x14ac:dyDescent="0.3">
      <c r="A9">
        <v>2011.4</v>
      </c>
      <c r="B9" s="6">
        <v>44267.9</v>
      </c>
      <c r="C9" s="1"/>
      <c r="D9" s="2">
        <v>1</v>
      </c>
      <c r="E9" s="2">
        <v>9</v>
      </c>
      <c r="F9" s="1">
        <f t="shared" si="0"/>
        <v>40327.3779884666</v>
      </c>
      <c r="G9" s="1">
        <f t="shared" si="1"/>
        <v>3940.5220115334014</v>
      </c>
      <c r="H9" s="1">
        <f t="shared" si="2"/>
        <v>15527713.723379243</v>
      </c>
      <c r="I9" s="1"/>
      <c r="J9">
        <f t="shared" si="3"/>
        <v>-1077.0999999999985</v>
      </c>
      <c r="K9" s="24">
        <f>J9-$P$6</f>
        <v>296.13312500000234</v>
      </c>
    </row>
    <row r="10" spans="1:16" x14ac:dyDescent="0.3">
      <c r="A10">
        <v>2012.1</v>
      </c>
      <c r="B10" s="6">
        <v>39075.199999999997</v>
      </c>
      <c r="C10" s="1"/>
      <c r="D10" s="2">
        <v>1</v>
      </c>
      <c r="E10" s="2">
        <v>10</v>
      </c>
      <c r="F10" s="1">
        <f t="shared" si="0"/>
        <v>40414.434312910707</v>
      </c>
      <c r="G10" s="1">
        <f t="shared" si="1"/>
        <v>-1339.2343129107103</v>
      </c>
      <c r="H10" s="1">
        <f t="shared" si="2"/>
        <v>1793548.5448774223</v>
      </c>
      <c r="I10" s="1"/>
      <c r="J10">
        <f t="shared" si="3"/>
        <v>-5192.7000000000044</v>
      </c>
      <c r="K10" s="24">
        <f t="shared" ref="K10" si="5">J10-$P$3</f>
        <v>-1352.4027083333376</v>
      </c>
    </row>
    <row r="11" spans="1:16" x14ac:dyDescent="0.3">
      <c r="A11">
        <v>2012.2</v>
      </c>
      <c r="B11" s="6">
        <v>41223.800000000003</v>
      </c>
      <c r="C11" s="1"/>
      <c r="D11" s="2">
        <v>1</v>
      </c>
      <c r="E11" s="2">
        <v>11</v>
      </c>
      <c r="F11" s="1">
        <f t="shared" si="0"/>
        <v>40501.490637354815</v>
      </c>
      <c r="G11" s="1">
        <f t="shared" si="1"/>
        <v>722.30936264518823</v>
      </c>
      <c r="H11" s="1">
        <f t="shared" si="2"/>
        <v>521730.81536489807</v>
      </c>
      <c r="I11" s="1"/>
      <c r="J11">
        <f t="shared" si="3"/>
        <v>2148.6000000000058</v>
      </c>
      <c r="K11" s="24">
        <f t="shared" ref="K11" si="6">J11-$P$4</f>
        <v>-757.51520833332779</v>
      </c>
    </row>
    <row r="12" spans="1:16" x14ac:dyDescent="0.3">
      <c r="A12">
        <v>2012.3</v>
      </c>
      <c r="B12" s="6">
        <v>41766.800000000003</v>
      </c>
      <c r="C12" s="1"/>
      <c r="D12" s="2">
        <v>1</v>
      </c>
      <c r="E12" s="2">
        <v>12</v>
      </c>
      <c r="F12" s="1">
        <f t="shared" si="0"/>
        <v>40588.546961798929</v>
      </c>
      <c r="G12" s="1">
        <f t="shared" si="1"/>
        <v>1178.2530382010737</v>
      </c>
      <c r="H12" s="1">
        <f t="shared" si="2"/>
        <v>1388280.2220300608</v>
      </c>
      <c r="I12" s="1"/>
      <c r="J12">
        <f t="shared" si="3"/>
        <v>543</v>
      </c>
      <c r="K12" s="24">
        <f t="shared" ref="K12" si="7">J12-$P$5</f>
        <v>-1764.4152083333338</v>
      </c>
    </row>
    <row r="13" spans="1:16" x14ac:dyDescent="0.3">
      <c r="A13">
        <v>2012.4</v>
      </c>
      <c r="B13" s="6">
        <v>41700.400000000001</v>
      </c>
      <c r="C13" s="1"/>
      <c r="D13" s="2">
        <v>1</v>
      </c>
      <c r="E13" s="2">
        <v>13</v>
      </c>
      <c r="F13" s="1">
        <f t="shared" si="0"/>
        <v>40675.603286243044</v>
      </c>
      <c r="G13" s="1">
        <f t="shared" si="1"/>
        <v>1024.7967137569576</v>
      </c>
      <c r="H13" s="1">
        <f t="shared" si="2"/>
        <v>1050208.3045270597</v>
      </c>
      <c r="I13" s="1"/>
      <c r="J13">
        <f t="shared" si="3"/>
        <v>-66.400000000001455</v>
      </c>
      <c r="K13" s="24">
        <f t="shared" ref="K13" si="8">J13-$P$6</f>
        <v>1306.8331249999994</v>
      </c>
    </row>
    <row r="14" spans="1:16" x14ac:dyDescent="0.3">
      <c r="A14">
        <v>2013.1</v>
      </c>
      <c r="B14" s="6">
        <v>36810.699999999997</v>
      </c>
      <c r="C14" s="1"/>
      <c r="D14" s="2">
        <v>1</v>
      </c>
      <c r="E14" s="2">
        <v>14</v>
      </c>
      <c r="F14" s="1">
        <f t="shared" si="0"/>
        <v>40762.659610687151</v>
      </c>
      <c r="G14" s="1">
        <f t="shared" si="1"/>
        <v>-3951.9596106871541</v>
      </c>
      <c r="H14" s="1">
        <f t="shared" si="2"/>
        <v>15617984.764502563</v>
      </c>
      <c r="I14" s="1"/>
      <c r="J14">
        <f t="shared" si="3"/>
        <v>-4889.7000000000044</v>
      </c>
      <c r="K14" s="24">
        <f t="shared" ref="K14" si="9">J14-$P$3</f>
        <v>-1049.4027083333376</v>
      </c>
    </row>
    <row r="15" spans="1:16" x14ac:dyDescent="0.3">
      <c r="A15">
        <v>2013.2</v>
      </c>
      <c r="B15" s="6">
        <v>39772.1</v>
      </c>
      <c r="C15" s="1"/>
      <c r="D15" s="2">
        <v>1</v>
      </c>
      <c r="E15" s="2">
        <v>15</v>
      </c>
      <c r="F15" s="1">
        <f t="shared" si="0"/>
        <v>40849.715935131258</v>
      </c>
      <c r="G15" s="1">
        <f t="shared" si="1"/>
        <v>-1077.6159351312599</v>
      </c>
      <c r="H15" s="1">
        <f t="shared" si="2"/>
        <v>1161256.1036488197</v>
      </c>
      <c r="I15" s="1"/>
      <c r="J15">
        <f t="shared" si="3"/>
        <v>2961.4000000000015</v>
      </c>
      <c r="K15" s="24">
        <f t="shared" ref="K15" si="10">J15-$P$4</f>
        <v>55.284791666667843</v>
      </c>
    </row>
    <row r="16" spans="1:16" x14ac:dyDescent="0.3">
      <c r="A16">
        <v>2013.3</v>
      </c>
      <c r="B16" s="6">
        <v>40769.199999999997</v>
      </c>
      <c r="C16" s="1"/>
      <c r="D16" s="2">
        <v>1</v>
      </c>
      <c r="E16" s="2">
        <v>16</v>
      </c>
      <c r="F16" s="1">
        <f t="shared" si="0"/>
        <v>40936.772259575373</v>
      </c>
      <c r="G16" s="1">
        <f t="shared" si="1"/>
        <v>-167.57225957537594</v>
      </c>
      <c r="H16" s="1">
        <f t="shared" si="2"/>
        <v>28080.462179197173</v>
      </c>
      <c r="I16" s="1"/>
      <c r="J16">
        <f t="shared" si="3"/>
        <v>997.09999999999854</v>
      </c>
      <c r="K16" s="24">
        <f t="shared" ref="K16" si="11">J16-$P$5</f>
        <v>-1310.3152083333352</v>
      </c>
    </row>
    <row r="17" spans="1:11" x14ac:dyDescent="0.3">
      <c r="A17">
        <v>2013.4</v>
      </c>
      <c r="B17" s="6">
        <v>40443.199999999997</v>
      </c>
      <c r="C17" s="1"/>
      <c r="D17" s="2">
        <v>1</v>
      </c>
      <c r="E17" s="2">
        <v>17</v>
      </c>
      <c r="F17" s="1">
        <f t="shared" si="0"/>
        <v>41023.828584019488</v>
      </c>
      <c r="G17" s="1">
        <f t="shared" si="1"/>
        <v>-580.62858401949052</v>
      </c>
      <c r="H17" s="1">
        <f t="shared" si="2"/>
        <v>337129.55258047854</v>
      </c>
      <c r="I17" s="1"/>
      <c r="J17">
        <f t="shared" si="3"/>
        <v>-326</v>
      </c>
      <c r="K17" s="24">
        <f t="shared" ref="K17" si="12">J17-$P$6</f>
        <v>1047.2331250000009</v>
      </c>
    </row>
    <row r="18" spans="1:11" x14ac:dyDescent="0.3">
      <c r="A18">
        <v>2014.1</v>
      </c>
      <c r="B18" s="6">
        <v>36236.6</v>
      </c>
      <c r="C18" s="1"/>
      <c r="D18" s="2">
        <v>1</v>
      </c>
      <c r="E18" s="2">
        <v>18</v>
      </c>
      <c r="F18" s="1">
        <f t="shared" si="0"/>
        <v>41110.884908463595</v>
      </c>
      <c r="G18" s="1">
        <f t="shared" si="1"/>
        <v>-4874.2849084635964</v>
      </c>
      <c r="H18" s="1">
        <f t="shared" si="2"/>
        <v>23758653.368875969</v>
      </c>
      <c r="I18" s="1"/>
      <c r="J18">
        <f t="shared" si="3"/>
        <v>-4206.5999999999985</v>
      </c>
      <c r="K18" s="24">
        <f t="shared" ref="K18" si="13">J18-$P$3</f>
        <v>-366.30270833333179</v>
      </c>
    </row>
    <row r="19" spans="1:11" x14ac:dyDescent="0.3">
      <c r="A19">
        <v>2014.2</v>
      </c>
      <c r="B19" s="6">
        <v>38745.9</v>
      </c>
      <c r="C19" s="1"/>
      <c r="D19" s="2">
        <v>1</v>
      </c>
      <c r="E19" s="2">
        <v>19</v>
      </c>
      <c r="F19" s="1">
        <f t="shared" si="0"/>
        <v>41197.941232907702</v>
      </c>
      <c r="G19" s="1">
        <f t="shared" si="1"/>
        <v>-2452.0412329077008</v>
      </c>
      <c r="H19" s="1">
        <f t="shared" si="2"/>
        <v>6012506.2078795172</v>
      </c>
      <c r="I19" s="1"/>
      <c r="J19">
        <f t="shared" si="3"/>
        <v>2509.3000000000029</v>
      </c>
      <c r="K19" s="24">
        <f t="shared" ref="K19" si="14">J19-$P$4</f>
        <v>-396.8152083333307</v>
      </c>
    </row>
    <row r="20" spans="1:11" x14ac:dyDescent="0.3">
      <c r="A20">
        <v>2014.3</v>
      </c>
      <c r="B20" s="6">
        <v>40325.300000000003</v>
      </c>
      <c r="C20" s="1"/>
      <c r="D20" s="2">
        <v>1</v>
      </c>
      <c r="E20" s="2">
        <v>20</v>
      </c>
      <c r="F20" s="1">
        <f t="shared" si="0"/>
        <v>41284.997557351817</v>
      </c>
      <c r="G20" s="1">
        <f t="shared" si="1"/>
        <v>-959.69755735181388</v>
      </c>
      <c r="H20" s="1">
        <f t="shared" si="2"/>
        <v>921019.40158703807</v>
      </c>
      <c r="I20" s="1"/>
      <c r="J20">
        <f t="shared" si="3"/>
        <v>1579.4000000000015</v>
      </c>
      <c r="K20" s="24">
        <f t="shared" ref="K20" si="15">J20-$P$5</f>
        <v>-728.01520833333234</v>
      </c>
    </row>
    <row r="21" spans="1:11" x14ac:dyDescent="0.3">
      <c r="A21">
        <v>2014.4</v>
      </c>
      <c r="B21" s="6">
        <v>40047.5</v>
      </c>
      <c r="C21" s="1"/>
      <c r="D21" s="2">
        <v>1</v>
      </c>
      <c r="E21" s="2">
        <v>21</v>
      </c>
      <c r="F21" s="1">
        <f t="shared" si="0"/>
        <v>41372.053881795931</v>
      </c>
      <c r="G21" s="1">
        <f t="shared" si="1"/>
        <v>-1324.5538817959314</v>
      </c>
      <c r="H21" s="1">
        <f t="shared" si="2"/>
        <v>1754442.9857806701</v>
      </c>
      <c r="I21" s="1"/>
      <c r="J21">
        <f t="shared" si="3"/>
        <v>-277.80000000000291</v>
      </c>
      <c r="K21" s="24">
        <f t="shared" ref="K21" si="16">J21-$P$6</f>
        <v>1095.433124999998</v>
      </c>
    </row>
    <row r="22" spans="1:11" x14ac:dyDescent="0.3">
      <c r="A22">
        <v>2015.1</v>
      </c>
      <c r="B22" s="6">
        <v>36268.1</v>
      </c>
      <c r="C22" s="1"/>
      <c r="D22" s="2">
        <v>1</v>
      </c>
      <c r="E22" s="2">
        <v>22</v>
      </c>
      <c r="F22" s="1">
        <f t="shared" si="0"/>
        <v>41459.110206240039</v>
      </c>
      <c r="G22" s="1">
        <f t="shared" si="1"/>
        <v>-5191.0102062400401</v>
      </c>
      <c r="H22" s="1">
        <f t="shared" si="2"/>
        <v>26946586.961288262</v>
      </c>
      <c r="I22" s="1"/>
      <c r="J22">
        <f t="shared" si="3"/>
        <v>-3779.4000000000015</v>
      </c>
      <c r="K22" s="24">
        <f t="shared" ref="K22" si="17">J22-$P$3</f>
        <v>60.897291666665296</v>
      </c>
    </row>
    <row r="23" spans="1:11" x14ac:dyDescent="0.3">
      <c r="A23">
        <v>2015.2</v>
      </c>
      <c r="B23" s="6">
        <v>38729.1</v>
      </c>
      <c r="C23" s="1"/>
      <c r="D23" s="2">
        <v>1</v>
      </c>
      <c r="E23" s="2">
        <v>23</v>
      </c>
      <c r="F23" s="1">
        <f t="shared" si="0"/>
        <v>41546.166530684146</v>
      </c>
      <c r="G23" s="1">
        <f t="shared" si="1"/>
        <v>-2817.0665306841474</v>
      </c>
      <c r="H23" s="1">
        <f t="shared" si="2"/>
        <v>7935863.8383008186</v>
      </c>
      <c r="I23" s="1"/>
      <c r="J23">
        <f t="shared" si="3"/>
        <v>2461</v>
      </c>
      <c r="K23" s="24">
        <f t="shared" ref="K23" si="18">J23-$P$4</f>
        <v>-445.11520833333361</v>
      </c>
    </row>
    <row r="24" spans="1:11" x14ac:dyDescent="0.3">
      <c r="A24">
        <v>2015.3</v>
      </c>
      <c r="B24" s="6">
        <v>39614</v>
      </c>
      <c r="C24" s="1"/>
      <c r="D24" s="2">
        <v>1</v>
      </c>
      <c r="E24" s="2">
        <v>24</v>
      </c>
      <c r="F24" s="1">
        <f t="shared" si="0"/>
        <v>41633.222855128261</v>
      </c>
      <c r="G24" s="1">
        <f t="shared" si="1"/>
        <v>-2019.2228551282606</v>
      </c>
      <c r="H24" s="1">
        <f t="shared" si="2"/>
        <v>4077260.9386723242</v>
      </c>
      <c r="I24" s="1"/>
      <c r="J24">
        <f t="shared" si="3"/>
        <v>884.90000000000146</v>
      </c>
      <c r="K24" s="24">
        <f t="shared" ref="K24" si="19">J24-$P$5</f>
        <v>-1422.5152083333323</v>
      </c>
    </row>
    <row r="25" spans="1:11" x14ac:dyDescent="0.3">
      <c r="A25">
        <v>2015.4</v>
      </c>
      <c r="B25" s="6">
        <v>40169.5</v>
      </c>
      <c r="C25" s="1"/>
      <c r="D25" s="2">
        <v>1</v>
      </c>
      <c r="E25" s="2">
        <v>25</v>
      </c>
      <c r="F25" s="1">
        <f t="shared" si="0"/>
        <v>41720.279179572375</v>
      </c>
      <c r="G25" s="1">
        <f t="shared" si="1"/>
        <v>-1550.7791795723751</v>
      </c>
      <c r="H25" s="1">
        <f t="shared" si="2"/>
        <v>2404916.0637951689</v>
      </c>
      <c r="I25" s="1"/>
      <c r="J25">
        <f t="shared" si="3"/>
        <v>555.5</v>
      </c>
      <c r="K25" s="24">
        <f t="shared" ref="K25" si="20">J25-$P$6</f>
        <v>1928.7331250000009</v>
      </c>
    </row>
    <row r="26" spans="1:11" x14ac:dyDescent="0.3">
      <c r="A26">
        <v>2016.1</v>
      </c>
      <c r="B26" s="6">
        <v>35233.800000000003</v>
      </c>
      <c r="C26" s="1"/>
      <c r="D26" s="2">
        <v>1</v>
      </c>
      <c r="E26" s="2">
        <v>26</v>
      </c>
      <c r="F26" s="1">
        <f t="shared" si="0"/>
        <v>41807.335504016482</v>
      </c>
      <c r="G26" s="1">
        <f t="shared" si="1"/>
        <v>-6573.5355040164795</v>
      </c>
      <c r="H26" s="1">
        <f t="shared" si="2"/>
        <v>43211369.022565193</v>
      </c>
      <c r="I26" s="1"/>
      <c r="J26">
        <f t="shared" si="3"/>
        <v>-4935.6999999999971</v>
      </c>
      <c r="K26" s="24">
        <f t="shared" ref="K26" si="21">J26-$P$3</f>
        <v>-1095.4027083333303</v>
      </c>
    </row>
    <row r="27" spans="1:11" x14ac:dyDescent="0.3">
      <c r="A27">
        <v>2016.2</v>
      </c>
      <c r="B27" s="6">
        <v>37936</v>
      </c>
      <c r="C27" s="1"/>
      <c r="D27" s="2">
        <v>1</v>
      </c>
      <c r="E27" s="2">
        <v>27</v>
      </c>
      <c r="F27" s="1">
        <f t="shared" si="0"/>
        <v>41894.39182846059</v>
      </c>
      <c r="G27" s="1">
        <f t="shared" si="1"/>
        <v>-3958.3918284605897</v>
      </c>
      <c r="H27" s="1">
        <f t="shared" si="2"/>
        <v>15668865.867623571</v>
      </c>
      <c r="I27" s="1"/>
      <c r="J27">
        <f t="shared" si="3"/>
        <v>2702.1999999999971</v>
      </c>
      <c r="K27" s="24">
        <f t="shared" ref="K27" si="22">J27-$P$4</f>
        <v>-203.91520833333652</v>
      </c>
    </row>
    <row r="28" spans="1:11" x14ac:dyDescent="0.3">
      <c r="A28">
        <v>2016.3</v>
      </c>
      <c r="B28" s="6">
        <v>39732</v>
      </c>
      <c r="C28" s="1"/>
      <c r="D28" s="2">
        <v>1</v>
      </c>
      <c r="E28" s="2">
        <v>28</v>
      </c>
      <c r="F28" s="1">
        <f t="shared" si="0"/>
        <v>41981.448152904704</v>
      </c>
      <c r="G28" s="1">
        <f t="shared" si="1"/>
        <v>-2249.4481529047043</v>
      </c>
      <c r="H28" s="1">
        <f t="shared" si="2"/>
        <v>5060016.9926063856</v>
      </c>
      <c r="I28" s="1"/>
      <c r="J28">
        <f t="shared" si="3"/>
        <v>1796</v>
      </c>
      <c r="K28" s="24">
        <f t="shared" ref="K28" si="23">J28-$P$5</f>
        <v>-511.41520833333379</v>
      </c>
    </row>
    <row r="29" spans="1:11" x14ac:dyDescent="0.3">
      <c r="A29">
        <v>2016.4</v>
      </c>
      <c r="B29" s="6">
        <v>39113.800000000003</v>
      </c>
      <c r="C29" s="1"/>
      <c r="D29" s="2">
        <v>1</v>
      </c>
      <c r="E29" s="2">
        <v>29</v>
      </c>
      <c r="F29" s="1">
        <f t="shared" si="0"/>
        <v>42068.504477348819</v>
      </c>
      <c r="G29" s="1">
        <f t="shared" si="1"/>
        <v>-2954.704477348816</v>
      </c>
      <c r="H29" s="1">
        <f t="shared" si="2"/>
        <v>8730278.5484651402</v>
      </c>
      <c r="I29" s="1"/>
      <c r="J29">
        <f t="shared" si="3"/>
        <v>-618.19999999999709</v>
      </c>
      <c r="K29" s="24">
        <f t="shared" ref="K29" si="24">J29-$P$6</f>
        <v>755.03312500000379</v>
      </c>
    </row>
    <row r="30" spans="1:11" x14ac:dyDescent="0.3">
      <c r="A30">
        <v>2017.1</v>
      </c>
      <c r="B30" s="6">
        <v>35997.300000000003</v>
      </c>
      <c r="C30" s="1"/>
      <c r="D30" s="2">
        <v>1</v>
      </c>
      <c r="E30" s="2">
        <v>30</v>
      </c>
      <c r="F30" s="1">
        <f t="shared" si="0"/>
        <v>42155.560801792926</v>
      </c>
      <c r="G30" s="1">
        <f t="shared" si="1"/>
        <v>-6158.2608017929233</v>
      </c>
      <c r="H30" s="1">
        <f t="shared" si="2"/>
        <v>37924176.102899216</v>
      </c>
      <c r="I30" s="1"/>
      <c r="J30">
        <f t="shared" si="3"/>
        <v>-3116.5</v>
      </c>
      <c r="K30" s="24">
        <f t="shared" ref="K30" si="25">J30-$P$3</f>
        <v>723.79729166666675</v>
      </c>
    </row>
    <row r="31" spans="1:11" x14ac:dyDescent="0.3">
      <c r="A31">
        <v>2017.2</v>
      </c>
      <c r="B31" s="6">
        <v>38526.1</v>
      </c>
      <c r="C31" s="1"/>
      <c r="D31" s="2">
        <v>1</v>
      </c>
      <c r="E31" s="2">
        <v>31</v>
      </c>
      <c r="F31" s="1">
        <f t="shared" si="0"/>
        <v>42242.617126237034</v>
      </c>
      <c r="G31" s="1">
        <f t="shared" si="1"/>
        <v>-3716.517126237035</v>
      </c>
      <c r="H31" s="1">
        <f t="shared" si="2"/>
        <v>13812499.549613189</v>
      </c>
      <c r="I31" s="1"/>
      <c r="J31">
        <f t="shared" si="3"/>
        <v>2528.7999999999956</v>
      </c>
      <c r="K31" s="24">
        <f t="shared" ref="K31" si="26">J31-$P$4</f>
        <v>-377.31520833333798</v>
      </c>
    </row>
    <row r="32" spans="1:11" x14ac:dyDescent="0.3">
      <c r="A32">
        <v>2017.3</v>
      </c>
      <c r="B32" s="6">
        <v>41277.4</v>
      </c>
      <c r="C32" s="1"/>
      <c r="D32" s="2">
        <v>1</v>
      </c>
      <c r="E32" s="2">
        <v>32</v>
      </c>
      <c r="F32" s="1">
        <f t="shared" si="0"/>
        <v>42329.673450681148</v>
      </c>
      <c r="G32" s="1">
        <f t="shared" si="1"/>
        <v>-1052.2734506811466</v>
      </c>
      <c r="H32" s="1">
        <f t="shared" si="2"/>
        <v>1107279.4150084076</v>
      </c>
      <c r="I32" s="1"/>
      <c r="J32">
        <f t="shared" si="3"/>
        <v>2751.3000000000029</v>
      </c>
      <c r="K32" s="24">
        <f t="shared" ref="K32" si="27">J32-$P$5</f>
        <v>443.88479166666912</v>
      </c>
    </row>
    <row r="33" spans="1:11" x14ac:dyDescent="0.3">
      <c r="A33">
        <v>2017.4</v>
      </c>
      <c r="B33" s="6">
        <v>38981.5</v>
      </c>
      <c r="C33" s="1"/>
      <c r="D33" s="2">
        <v>1</v>
      </c>
      <c r="E33" s="2">
        <v>33</v>
      </c>
      <c r="F33" s="1">
        <f t="shared" si="0"/>
        <v>42416.729775125263</v>
      </c>
      <c r="G33" s="1">
        <f t="shared" si="1"/>
        <v>-3435.2297751252627</v>
      </c>
      <c r="H33" s="1">
        <f t="shared" si="2"/>
        <v>11800803.607907163</v>
      </c>
      <c r="I33" s="1"/>
      <c r="J33">
        <f t="shared" si="3"/>
        <v>-2295.9000000000015</v>
      </c>
      <c r="K33" s="24">
        <f t="shared" ref="K33" si="28">J33-$P$6</f>
        <v>-922.66687500000057</v>
      </c>
    </row>
    <row r="34" spans="1:11" x14ac:dyDescent="0.3">
      <c r="A34">
        <v>2018.1</v>
      </c>
      <c r="B34" s="6">
        <v>36049</v>
      </c>
      <c r="C34" s="1"/>
      <c r="D34" s="2">
        <v>1</v>
      </c>
      <c r="E34" s="2">
        <v>34</v>
      </c>
      <c r="F34" s="1">
        <f t="shared" si="0"/>
        <v>42503.78609956937</v>
      </c>
      <c r="G34" s="1">
        <f t="shared" si="1"/>
        <v>-6454.78609956937</v>
      </c>
      <c r="H34" s="1">
        <f t="shared" si="2"/>
        <v>41664263.591193959</v>
      </c>
      <c r="I34" s="1"/>
      <c r="J34">
        <f t="shared" si="3"/>
        <v>-2932.5</v>
      </c>
      <c r="K34" s="24">
        <f t="shared" ref="K34" si="29">J34-$P$3</f>
        <v>907.79729166666675</v>
      </c>
    </row>
    <row r="35" spans="1:11" x14ac:dyDescent="0.3">
      <c r="A35">
        <v>2018.2</v>
      </c>
      <c r="B35" s="6">
        <v>39184.9</v>
      </c>
      <c r="C35" s="1"/>
      <c r="D35" s="2">
        <v>1</v>
      </c>
      <c r="E35" s="2">
        <v>35</v>
      </c>
      <c r="F35" s="1">
        <f t="shared" si="0"/>
        <v>42590.842424013477</v>
      </c>
      <c r="G35" s="1">
        <f t="shared" si="1"/>
        <v>-3405.9424240134758</v>
      </c>
      <c r="H35" s="1">
        <f t="shared" si="2"/>
        <v>11600443.795694791</v>
      </c>
      <c r="I35" s="1"/>
      <c r="J35">
        <f t="shared" si="3"/>
        <v>3135.9000000000015</v>
      </c>
      <c r="K35" s="24">
        <f t="shared" ref="K35" si="30">J35-$P$4</f>
        <v>229.78479166666784</v>
      </c>
    </row>
    <row r="36" spans="1:11" x14ac:dyDescent="0.3">
      <c r="A36">
        <v>2018.3</v>
      </c>
      <c r="B36" s="6">
        <v>41724.6</v>
      </c>
      <c r="C36" s="1"/>
      <c r="D36" s="2">
        <v>1</v>
      </c>
      <c r="E36" s="2">
        <v>36</v>
      </c>
      <c r="F36" s="1">
        <f t="shared" ref="F36:F63" si="31">$D$80+$D$81*E36</f>
        <v>42677.898748457592</v>
      </c>
      <c r="G36" s="1">
        <f t="shared" si="1"/>
        <v>-953.29874845759332</v>
      </c>
      <c r="H36" s="1">
        <f t="shared" si="2"/>
        <v>908778.50381081377</v>
      </c>
      <c r="I36" s="1"/>
      <c r="J36">
        <f t="shared" si="3"/>
        <v>2539.6999999999971</v>
      </c>
      <c r="K36" s="24">
        <f t="shared" ref="K36" si="32">J36-$P$5</f>
        <v>232.2847916666633</v>
      </c>
    </row>
    <row r="37" spans="1:11" x14ac:dyDescent="0.3">
      <c r="A37">
        <v>2018.4</v>
      </c>
      <c r="B37" s="6">
        <v>39676.400000000001</v>
      </c>
      <c r="C37" s="1"/>
      <c r="D37" s="2">
        <v>1</v>
      </c>
      <c r="E37" s="2">
        <v>37</v>
      </c>
      <c r="F37" s="1">
        <f t="shared" si="31"/>
        <v>42764.955072901706</v>
      </c>
      <c r="G37" s="1">
        <f t="shared" si="1"/>
        <v>-3088.555072901705</v>
      </c>
      <c r="H37" s="1">
        <f t="shared" si="2"/>
        <v>9539172.4383468553</v>
      </c>
      <c r="I37" s="1"/>
      <c r="J37">
        <f t="shared" si="3"/>
        <v>-2048.1999999999971</v>
      </c>
      <c r="K37" s="24">
        <f t="shared" ref="K37" si="33">J37-$P$6</f>
        <v>-674.96687499999621</v>
      </c>
    </row>
    <row r="38" spans="1:11" x14ac:dyDescent="0.3">
      <c r="A38">
        <v>2019.1</v>
      </c>
      <c r="B38" s="6">
        <v>36562.699999999997</v>
      </c>
      <c r="C38" s="1"/>
      <c r="D38" s="2">
        <v>1</v>
      </c>
      <c r="E38" s="2">
        <v>38</v>
      </c>
      <c r="F38" s="1">
        <f t="shared" si="31"/>
        <v>42852.011397345814</v>
      </c>
      <c r="G38" s="1">
        <f t="shared" si="1"/>
        <v>-6289.3113973458167</v>
      </c>
      <c r="H38" s="1">
        <f t="shared" si="2"/>
        <v>39555437.852783985</v>
      </c>
      <c r="I38" s="1"/>
      <c r="J38">
        <f t="shared" si="3"/>
        <v>-3113.7000000000044</v>
      </c>
      <c r="K38" s="24">
        <f t="shared" ref="K38" si="34">J38-$P$3</f>
        <v>726.59729166666239</v>
      </c>
    </row>
    <row r="39" spans="1:11" x14ac:dyDescent="0.3">
      <c r="A39">
        <v>2019.2</v>
      </c>
      <c r="B39" s="6">
        <v>40409.9</v>
      </c>
      <c r="C39" s="1"/>
      <c r="D39" s="2">
        <v>1</v>
      </c>
      <c r="E39" s="2">
        <v>39</v>
      </c>
      <c r="F39" s="1">
        <f t="shared" si="31"/>
        <v>42939.067721789921</v>
      </c>
      <c r="G39" s="1">
        <f t="shared" si="1"/>
        <v>-2529.1677217899196</v>
      </c>
      <c r="H39" s="1">
        <f t="shared" si="2"/>
        <v>6396689.3649440119</v>
      </c>
      <c r="I39" s="1"/>
      <c r="J39">
        <f t="shared" si="3"/>
        <v>3847.2000000000044</v>
      </c>
      <c r="K39" s="24">
        <f t="shared" ref="K39" si="35">J39-$P$4</f>
        <v>941.08479166667075</v>
      </c>
    </row>
    <row r="40" spans="1:11" x14ac:dyDescent="0.3">
      <c r="A40">
        <v>2019.3</v>
      </c>
      <c r="B40" s="6">
        <v>43406.8</v>
      </c>
      <c r="C40" s="1"/>
      <c r="D40" s="2">
        <v>1</v>
      </c>
      <c r="E40" s="2">
        <v>40</v>
      </c>
      <c r="F40" s="1">
        <f t="shared" si="31"/>
        <v>43026.124046234036</v>
      </c>
      <c r="G40" s="1">
        <f t="shared" si="1"/>
        <v>380.67595376596728</v>
      </c>
      <c r="H40" s="1">
        <f t="shared" si="2"/>
        <v>144914.18177562885</v>
      </c>
      <c r="I40" s="1"/>
      <c r="J40">
        <f t="shared" si="3"/>
        <v>2996.9000000000015</v>
      </c>
      <c r="K40" s="24">
        <f t="shared" ref="K40" si="36">J40-$P$5</f>
        <v>689.48479166666766</v>
      </c>
    </row>
    <row r="41" spans="1:11" x14ac:dyDescent="0.3">
      <c r="A41">
        <v>2019.4</v>
      </c>
      <c r="B41" s="6">
        <v>40353.199999999997</v>
      </c>
      <c r="C41" s="1"/>
      <c r="D41" s="2">
        <v>1</v>
      </c>
      <c r="E41" s="2">
        <v>41</v>
      </c>
      <c r="F41" s="1">
        <f t="shared" si="31"/>
        <v>43113.18037067815</v>
      </c>
      <c r="G41" s="1">
        <f t="shared" si="1"/>
        <v>-2759.9803706781531</v>
      </c>
      <c r="H41" s="1">
        <f t="shared" si="2"/>
        <v>7617491.6465287153</v>
      </c>
      <c r="I41" s="1"/>
      <c r="J41">
        <f t="shared" si="3"/>
        <v>-3053.6000000000058</v>
      </c>
      <c r="K41" s="24">
        <f t="shared" ref="K41" si="37">J41-$P$6</f>
        <v>-1680.3668750000049</v>
      </c>
    </row>
    <row r="42" spans="1:11" x14ac:dyDescent="0.3">
      <c r="A42">
        <v>2020.1</v>
      </c>
      <c r="B42" s="6">
        <v>36283.300000000003</v>
      </c>
      <c r="C42" s="1"/>
      <c r="D42" s="2">
        <v>1</v>
      </c>
      <c r="E42" s="2">
        <v>42</v>
      </c>
      <c r="F42" s="1">
        <f t="shared" si="31"/>
        <v>43200.236695122258</v>
      </c>
      <c r="G42" s="1">
        <f t="shared" si="1"/>
        <v>-6916.9366951222546</v>
      </c>
      <c r="H42" s="1">
        <f t="shared" si="2"/>
        <v>47844013.244328775</v>
      </c>
      <c r="I42" s="1"/>
      <c r="J42">
        <f t="shared" si="3"/>
        <v>-4069.8999999999942</v>
      </c>
      <c r="K42" s="24">
        <f t="shared" ref="K42" si="38">J42-$P$3</f>
        <v>-229.60270833332743</v>
      </c>
    </row>
    <row r="43" spans="1:11" x14ac:dyDescent="0.3">
      <c r="A43">
        <v>2020.2</v>
      </c>
      <c r="B43" s="6">
        <v>34354.5</v>
      </c>
      <c r="C43" s="1"/>
      <c r="D43" s="2">
        <v>1</v>
      </c>
      <c r="E43" s="2">
        <v>43</v>
      </c>
      <c r="F43" s="1">
        <f t="shared" si="31"/>
        <v>43287.293019566365</v>
      </c>
      <c r="G43" s="1">
        <f t="shared" si="1"/>
        <v>-8932.7930195663648</v>
      </c>
      <c r="H43" s="1">
        <f t="shared" si="2"/>
        <v>79794791.130413577</v>
      </c>
      <c r="I43" s="1"/>
      <c r="J43">
        <f t="shared" si="3"/>
        <v>-1928.8000000000029</v>
      </c>
      <c r="K43" s="24">
        <f t="shared" ref="K43" si="39">J43-$P$4</f>
        <v>-4834.9152083333365</v>
      </c>
    </row>
    <row r="44" spans="1:11" x14ac:dyDescent="0.3">
      <c r="A44">
        <v>2020.3</v>
      </c>
      <c r="B44" s="6">
        <v>39026.300000000003</v>
      </c>
      <c r="C44" s="1"/>
      <c r="D44" s="2">
        <v>1</v>
      </c>
      <c r="E44" s="2">
        <v>44</v>
      </c>
      <c r="F44" s="1">
        <f t="shared" si="31"/>
        <v>43374.349344010479</v>
      </c>
      <c r="G44" s="1">
        <f t="shared" si="1"/>
        <v>-4348.0493440104765</v>
      </c>
      <c r="H44" s="1">
        <f t="shared" si="2"/>
        <v>18905533.097949933</v>
      </c>
      <c r="I44" s="1"/>
      <c r="J44">
        <f t="shared" si="3"/>
        <v>4671.8000000000029</v>
      </c>
      <c r="K44" s="24">
        <f t="shared" ref="K44" si="40">J44-$P$5</f>
        <v>2364.3847916666691</v>
      </c>
    </row>
    <row r="45" spans="1:11" x14ac:dyDescent="0.3">
      <c r="A45">
        <v>2020.4</v>
      </c>
      <c r="B45" s="6">
        <v>37572.199999999997</v>
      </c>
      <c r="C45" s="1"/>
      <c r="D45" s="2">
        <v>1</v>
      </c>
      <c r="E45" s="2">
        <v>45</v>
      </c>
      <c r="F45" s="1">
        <f t="shared" si="31"/>
        <v>43461.405668454594</v>
      </c>
      <c r="G45" s="1">
        <f t="shared" si="1"/>
        <v>-5889.2056684545969</v>
      </c>
      <c r="H45" s="1">
        <f t="shared" si="2"/>
        <v>34682743.405357756</v>
      </c>
      <c r="I45" s="1"/>
      <c r="J45">
        <f t="shared" si="3"/>
        <v>-1454.1000000000058</v>
      </c>
      <c r="K45" s="24">
        <f t="shared" ref="K45" si="41">J45-$P$6</f>
        <v>-80.866875000004939</v>
      </c>
    </row>
    <row r="46" spans="1:11" x14ac:dyDescent="0.3">
      <c r="A46">
        <v>2021.1</v>
      </c>
      <c r="B46" s="6">
        <v>35500.300000000003</v>
      </c>
      <c r="C46" s="1"/>
      <c r="D46" s="2">
        <v>1</v>
      </c>
      <c r="E46" s="2">
        <v>46</v>
      </c>
      <c r="F46" s="1">
        <f t="shared" si="31"/>
        <v>43548.461992898701</v>
      </c>
      <c r="G46" s="1">
        <f t="shared" si="1"/>
        <v>-8048.1619928986984</v>
      </c>
      <c r="H46" s="1">
        <f t="shared" si="2"/>
        <v>64772911.463939145</v>
      </c>
      <c r="I46" s="1"/>
      <c r="J46">
        <f t="shared" si="3"/>
        <v>-2071.8999999999942</v>
      </c>
      <c r="K46" s="24">
        <f t="shared" ref="K46" si="42">J46-$P$3</f>
        <v>1768.3972916666726</v>
      </c>
    </row>
    <row r="47" spans="1:11" x14ac:dyDescent="0.3">
      <c r="A47">
        <v>2021.2</v>
      </c>
      <c r="B47" s="6">
        <v>39015.699999999997</v>
      </c>
      <c r="C47" s="1"/>
      <c r="D47" s="2">
        <v>1</v>
      </c>
      <c r="E47" s="2">
        <v>47</v>
      </c>
      <c r="F47" s="1">
        <f t="shared" si="31"/>
        <v>43635.518317342809</v>
      </c>
      <c r="G47" s="1">
        <f t="shared" si="1"/>
        <v>-4619.8183173428115</v>
      </c>
      <c r="H47" s="1">
        <f t="shared" si="2"/>
        <v>21342721.285256166</v>
      </c>
      <c r="I47" s="1"/>
      <c r="J47">
        <f t="shared" si="3"/>
        <v>3515.3999999999942</v>
      </c>
      <c r="K47" s="24">
        <f t="shared" ref="K47" si="43">J47-$P$4</f>
        <v>609.28479166666057</v>
      </c>
    </row>
    <row r="48" spans="1:11" x14ac:dyDescent="0.3">
      <c r="A48">
        <v>2021.3</v>
      </c>
      <c r="B48" s="6">
        <v>44025.3</v>
      </c>
      <c r="C48" s="1"/>
      <c r="D48" s="2">
        <v>1</v>
      </c>
      <c r="E48" s="2">
        <v>48</v>
      </c>
      <c r="F48" s="1">
        <f t="shared" si="31"/>
        <v>43722.574641786923</v>
      </c>
      <c r="G48" s="1">
        <f t="shared" si="1"/>
        <v>302.72535821307974</v>
      </c>
      <c r="H48" s="1">
        <f t="shared" si="2"/>
        <v>91642.642505237454</v>
      </c>
      <c r="I48" s="1"/>
      <c r="J48">
        <f t="shared" si="3"/>
        <v>5009.6000000000058</v>
      </c>
      <c r="K48" s="24">
        <f t="shared" ref="K48" si="44">J48-$P$5</f>
        <v>2702.184791666672</v>
      </c>
    </row>
    <row r="49" spans="1:11" x14ac:dyDescent="0.3">
      <c r="A49">
        <v>2021.4</v>
      </c>
      <c r="B49" s="6">
        <v>42474.1</v>
      </c>
      <c r="C49" s="1"/>
      <c r="D49" s="2">
        <v>1</v>
      </c>
      <c r="E49" s="2">
        <v>49</v>
      </c>
      <c r="F49" s="1">
        <f t="shared" si="31"/>
        <v>43809.630966231038</v>
      </c>
      <c r="G49" s="1">
        <f t="shared" si="1"/>
        <v>-1335.5309662310392</v>
      </c>
      <c r="H49" s="1">
        <f t="shared" si="2"/>
        <v>1783642.9617620131</v>
      </c>
      <c r="I49" s="1"/>
      <c r="J49">
        <f t="shared" si="3"/>
        <v>-1551.2000000000044</v>
      </c>
      <c r="K49" s="24">
        <f t="shared" ref="K49" si="45">J49-$P$6</f>
        <v>-177.96687500000348</v>
      </c>
    </row>
    <row r="50" spans="1:11" x14ac:dyDescent="0.3">
      <c r="A50">
        <v>2022.1</v>
      </c>
      <c r="B50" s="6">
        <v>40446.6</v>
      </c>
      <c r="C50" s="1"/>
      <c r="D50" s="2">
        <v>1</v>
      </c>
      <c r="E50" s="2">
        <v>50</v>
      </c>
      <c r="F50" s="1">
        <f t="shared" si="31"/>
        <v>43896.687290675145</v>
      </c>
      <c r="G50" s="1">
        <f t="shared" si="1"/>
        <v>-3450.0872906751465</v>
      </c>
      <c r="H50" s="1">
        <f t="shared" si="2"/>
        <v>11903102.313278172</v>
      </c>
      <c r="I50" s="1"/>
      <c r="J50">
        <f t="shared" si="3"/>
        <v>-2027.5</v>
      </c>
      <c r="K50" s="24">
        <f t="shared" ref="K50" si="46">J50-$P$3</f>
        <v>1812.7972916666668</v>
      </c>
    </row>
    <row r="51" spans="1:11" x14ac:dyDescent="0.3">
      <c r="A51">
        <v>2022.2</v>
      </c>
      <c r="B51" s="6">
        <v>44851.1</v>
      </c>
      <c r="C51" s="1"/>
      <c r="D51" s="2">
        <v>1</v>
      </c>
      <c r="E51" s="2">
        <v>51</v>
      </c>
      <c r="F51" s="1">
        <f t="shared" si="31"/>
        <v>43983.743615119252</v>
      </c>
      <c r="G51" s="1">
        <f t="shared" si="1"/>
        <v>867.35638488074619</v>
      </c>
      <c r="H51" s="1">
        <f t="shared" si="2"/>
        <v>752307.09839339717</v>
      </c>
      <c r="I51" s="1"/>
      <c r="J51">
        <f t="shared" si="3"/>
        <v>4404.5</v>
      </c>
      <c r="K51" s="24">
        <f t="shared" ref="K51" si="47">J51-$P$4</f>
        <v>1498.3847916666664</v>
      </c>
    </row>
    <row r="52" spans="1:11" x14ac:dyDescent="0.3">
      <c r="A52">
        <v>2022.3</v>
      </c>
      <c r="B52" s="6">
        <v>50374.1</v>
      </c>
      <c r="C52" s="1"/>
      <c r="D52" s="2">
        <v>1</v>
      </c>
      <c r="E52" s="2">
        <v>52</v>
      </c>
      <c r="F52" s="1">
        <f t="shared" si="31"/>
        <v>44070.799939563367</v>
      </c>
      <c r="G52" s="1">
        <f t="shared" si="1"/>
        <v>6303.3000604366316</v>
      </c>
      <c r="H52" s="1">
        <f t="shared" si="2"/>
        <v>39731591.65190044</v>
      </c>
      <c r="I52" s="1"/>
      <c r="J52">
        <f t="shared" si="3"/>
        <v>5523</v>
      </c>
      <c r="K52" s="24">
        <f t="shared" ref="K52" si="48">J52-$P$5</f>
        <v>3215.5847916666662</v>
      </c>
    </row>
    <row r="53" spans="1:11" x14ac:dyDescent="0.3">
      <c r="A53">
        <v>2022.4</v>
      </c>
      <c r="B53" s="6">
        <v>47736.9</v>
      </c>
      <c r="C53" s="1"/>
      <c r="D53" s="2">
        <v>1</v>
      </c>
      <c r="E53" s="2">
        <v>53</v>
      </c>
      <c r="F53" s="1">
        <f t="shared" si="31"/>
        <v>44157.856264007482</v>
      </c>
      <c r="G53" s="1">
        <f t="shared" si="1"/>
        <v>3579.0437359925199</v>
      </c>
      <c r="H53" s="1">
        <f t="shared" si="2"/>
        <v>12809554.064147295</v>
      </c>
      <c r="I53" s="1"/>
      <c r="J53">
        <f t="shared" si="3"/>
        <v>-2637.1999999999971</v>
      </c>
      <c r="K53" s="24">
        <f t="shared" ref="K53" si="49">J53-$P$6</f>
        <v>-1263.9668749999962</v>
      </c>
    </row>
    <row r="54" spans="1:11" x14ac:dyDescent="0.3">
      <c r="A54">
        <v>2023.1</v>
      </c>
      <c r="B54" s="6">
        <v>44156.9</v>
      </c>
      <c r="C54" s="1"/>
      <c r="D54" s="2">
        <v>1</v>
      </c>
      <c r="E54" s="2">
        <v>54</v>
      </c>
      <c r="F54" s="1">
        <f t="shared" si="31"/>
        <v>44244.912588451589</v>
      </c>
      <c r="G54" s="1">
        <f t="shared" si="1"/>
        <v>-88.012588451587362</v>
      </c>
      <c r="H54" s="1">
        <f t="shared" si="2"/>
        <v>7746.2157259484893</v>
      </c>
      <c r="I54" s="1"/>
      <c r="J54">
        <f t="shared" si="3"/>
        <v>-3580</v>
      </c>
      <c r="K54" s="24">
        <f t="shared" ref="K54" si="50">J54-$P$3</f>
        <v>260.29729166666675</v>
      </c>
    </row>
    <row r="55" spans="1:11" x14ac:dyDescent="0.3">
      <c r="A55">
        <v>2023.2</v>
      </c>
      <c r="B55" s="6">
        <v>48505.9</v>
      </c>
      <c r="C55" s="1"/>
      <c r="D55" s="2">
        <v>1</v>
      </c>
      <c r="E55" s="2">
        <v>55</v>
      </c>
      <c r="F55" s="1">
        <f t="shared" si="31"/>
        <v>44331.968912895696</v>
      </c>
      <c r="G55" s="1">
        <f t="shared" si="1"/>
        <v>4173.9310871043053</v>
      </c>
      <c r="H55" s="1">
        <f t="shared" si="2"/>
        <v>17421700.719895728</v>
      </c>
      <c r="I55" s="1"/>
      <c r="J55">
        <f t="shared" si="3"/>
        <v>4349</v>
      </c>
      <c r="K55" s="24">
        <f t="shared" ref="K55" si="51">J55-$P$4</f>
        <v>1442.8847916666664</v>
      </c>
    </row>
    <row r="56" spans="1:11" x14ac:dyDescent="0.3">
      <c r="A56">
        <v>2023.3</v>
      </c>
      <c r="B56" s="6">
        <v>53448.4</v>
      </c>
      <c r="C56" s="1"/>
      <c r="D56" s="2">
        <v>1</v>
      </c>
      <c r="E56" s="2">
        <v>56</v>
      </c>
      <c r="F56" s="1">
        <f t="shared" si="31"/>
        <v>44419.025237339811</v>
      </c>
      <c r="G56" s="1">
        <f t="shared" si="1"/>
        <v>9029.3747626601908</v>
      </c>
      <c r="H56" s="1">
        <f t="shared" si="2"/>
        <v>81529608.604564771</v>
      </c>
      <c r="I56" s="1"/>
      <c r="J56">
        <f t="shared" si="3"/>
        <v>4942.5</v>
      </c>
      <c r="K56" s="24">
        <f t="shared" ref="K56" si="52">J56-$P$5</f>
        <v>2635.0847916666662</v>
      </c>
    </row>
    <row r="57" spans="1:11" x14ac:dyDescent="0.3">
      <c r="A57">
        <v>2023.4</v>
      </c>
      <c r="B57" s="6">
        <v>50416.9</v>
      </c>
      <c r="C57" s="1"/>
      <c r="D57" s="2">
        <v>1</v>
      </c>
      <c r="E57" s="2">
        <v>57</v>
      </c>
      <c r="F57" s="1">
        <f t="shared" si="31"/>
        <v>44506.081561783925</v>
      </c>
      <c r="G57" s="1">
        <f t="shared" si="1"/>
        <v>5910.8184382160762</v>
      </c>
      <c r="H57" s="1">
        <f t="shared" si="2"/>
        <v>34937774.609555133</v>
      </c>
      <c r="I57" s="1"/>
      <c r="J57">
        <f t="shared" si="3"/>
        <v>-3031.5</v>
      </c>
      <c r="K57" s="24">
        <f t="shared" ref="K57" si="53">J57-$P$6</f>
        <v>-1658.2668749999991</v>
      </c>
    </row>
    <row r="58" spans="1:11" x14ac:dyDescent="0.3">
      <c r="A58">
        <v>2024.1</v>
      </c>
      <c r="B58" s="6">
        <v>45905.4</v>
      </c>
      <c r="C58" s="1"/>
      <c r="D58" s="2">
        <v>1</v>
      </c>
      <c r="E58" s="2">
        <v>58</v>
      </c>
      <c r="F58" s="1">
        <f t="shared" si="31"/>
        <v>44593.137886228033</v>
      </c>
      <c r="G58" s="1">
        <f t="shared" si="1"/>
        <v>1312.2621137719689</v>
      </c>
      <c r="H58" s="1">
        <f t="shared" si="2"/>
        <v>1722031.8552412759</v>
      </c>
      <c r="I58" s="1"/>
      <c r="J58">
        <f t="shared" si="3"/>
        <v>-4511.5</v>
      </c>
      <c r="K58" s="24">
        <f t="shared" ref="K58" si="54">J58-$P$3</f>
        <v>-671.20270833333325</v>
      </c>
    </row>
    <row r="59" spans="1:11" x14ac:dyDescent="0.3">
      <c r="A59">
        <v>2024.2</v>
      </c>
      <c r="B59" s="6">
        <v>51005</v>
      </c>
      <c r="C59" s="1"/>
      <c r="D59" s="2">
        <v>1</v>
      </c>
      <c r="E59" s="2">
        <v>59</v>
      </c>
      <c r="F59" s="1">
        <f t="shared" si="31"/>
        <v>44680.19421067214</v>
      </c>
      <c r="G59" s="1">
        <f t="shared" si="1"/>
        <v>6324.8057893278601</v>
      </c>
      <c r="H59" s="1">
        <f t="shared" si="2"/>
        <v>40003168.272715218</v>
      </c>
      <c r="I59" s="1"/>
      <c r="J59">
        <f t="shared" si="3"/>
        <v>5099.5999999999985</v>
      </c>
      <c r="K59" s="24">
        <f t="shared" ref="K59" si="55">J59-$P$4</f>
        <v>2193.4847916666649</v>
      </c>
    </row>
    <row r="60" spans="1:11" x14ac:dyDescent="0.3">
      <c r="A60">
        <v>2024.3</v>
      </c>
      <c r="B60" s="6">
        <v>56074</v>
      </c>
      <c r="C60" s="1"/>
      <c r="D60" s="2">
        <v>1</v>
      </c>
      <c r="E60" s="2">
        <v>60</v>
      </c>
      <c r="F60" s="1">
        <f t="shared" si="31"/>
        <v>44767.250535116254</v>
      </c>
      <c r="G60" s="1">
        <f t="shared" si="1"/>
        <v>11306.749464883746</v>
      </c>
      <c r="H60" s="1">
        <f t="shared" si="2"/>
        <v>127842583.46164887</v>
      </c>
      <c r="I60" s="1"/>
      <c r="J60">
        <f t="shared" si="3"/>
        <v>5069</v>
      </c>
      <c r="K60" s="24">
        <f t="shared" ref="K60" si="56">J60-$P$5</f>
        <v>2761.5847916666662</v>
      </c>
    </row>
    <row r="61" spans="1:11" x14ac:dyDescent="0.3">
      <c r="A61">
        <v>2024.4</v>
      </c>
      <c r="B61" s="6">
        <v>52936</v>
      </c>
      <c r="C61" s="1"/>
      <c r="D61" s="2">
        <v>1</v>
      </c>
      <c r="E61" s="2">
        <v>61</v>
      </c>
      <c r="F61" s="1">
        <f t="shared" si="31"/>
        <v>44854.306859560369</v>
      </c>
      <c r="G61" s="1">
        <f t="shared" si="1"/>
        <v>8081.693140439631</v>
      </c>
      <c r="H61" s="1">
        <f t="shared" si="2"/>
        <v>65313764.016228981</v>
      </c>
      <c r="I61" s="1"/>
      <c r="J61">
        <f t="shared" si="3"/>
        <v>-3138</v>
      </c>
      <c r="K61" s="24">
        <f t="shared" ref="K61" si="57">J61-$P$6</f>
        <v>-1764.7668749999991</v>
      </c>
    </row>
    <row r="62" spans="1:11" x14ac:dyDescent="0.3">
      <c r="A62">
        <v>2025.1</v>
      </c>
      <c r="B62" s="6">
        <v>47907.8</v>
      </c>
      <c r="C62" s="1"/>
      <c r="D62" s="2">
        <v>1</v>
      </c>
      <c r="E62" s="2">
        <v>62</v>
      </c>
      <c r="F62" s="1">
        <f t="shared" si="31"/>
        <v>44941.363184004476</v>
      </c>
      <c r="G62" s="1">
        <f t="shared" si="1"/>
        <v>2966.4368159955266</v>
      </c>
      <c r="H62" s="1">
        <f t="shared" si="2"/>
        <v>8799747.3832936771</v>
      </c>
      <c r="I62" s="1"/>
      <c r="J62">
        <f t="shared" si="3"/>
        <v>-5028.1999999999971</v>
      </c>
      <c r="K62" s="24">
        <f t="shared" ref="K62" si="58">J62-$P$3</f>
        <v>-1187.9027083333303</v>
      </c>
    </row>
    <row r="63" spans="1:11" x14ac:dyDescent="0.3">
      <c r="A63">
        <v>2025.2</v>
      </c>
      <c r="B63" s="6">
        <v>53716</v>
      </c>
      <c r="C63" s="1"/>
      <c r="D63" s="2">
        <v>1</v>
      </c>
      <c r="E63" s="2">
        <v>63</v>
      </c>
      <c r="F63" s="1">
        <f t="shared" si="31"/>
        <v>45028.419508448584</v>
      </c>
      <c r="G63" s="1">
        <f t="shared" si="1"/>
        <v>8687.5804915514163</v>
      </c>
      <c r="H63" s="1">
        <f t="shared" si="2"/>
        <v>75474054.79718475</v>
      </c>
      <c r="I63" s="1"/>
      <c r="J63">
        <f t="shared" si="3"/>
        <v>5808.1999999999971</v>
      </c>
      <c r="K63" s="24">
        <f t="shared" ref="K63" si="59">J63-$P$4</f>
        <v>2902.0847916666635</v>
      </c>
    </row>
    <row r="64" spans="1:11" x14ac:dyDescent="0.3">
      <c r="A64" s="1"/>
    </row>
    <row r="65" spans="2:65" x14ac:dyDescent="0.3">
      <c r="B65" s="1">
        <f>AVERAGE(B2:B63)</f>
        <v>42373.20161290322</v>
      </c>
      <c r="C65" s="1"/>
      <c r="D65" s="1"/>
      <c r="E65" s="1"/>
      <c r="F65" s="1"/>
      <c r="G65" s="1"/>
      <c r="H65" s="3">
        <f>SUM(H2:H63)</f>
        <v>1577676825.1793969</v>
      </c>
      <c r="I65" s="1"/>
    </row>
    <row r="66" spans="2:65" x14ac:dyDescent="0.3">
      <c r="D66" s="3"/>
      <c r="E66" s="3"/>
      <c r="F66" s="3"/>
      <c r="G66" s="3"/>
      <c r="H66" s="3"/>
      <c r="I66" s="3"/>
      <c r="J66" s="3"/>
      <c r="K66" s="3"/>
    </row>
    <row r="68" spans="2:65" x14ac:dyDescent="0.3">
      <c r="D68" s="4" cm="1">
        <f t="array" ref="D68:BM69">TRANSPOSE(D2:E63)</f>
        <v>1</v>
      </c>
      <c r="E68" s="4">
        <v>1</v>
      </c>
      <c r="F68" s="4">
        <v>1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>
        <v>1</v>
      </c>
      <c r="M68" s="4">
        <v>1</v>
      </c>
      <c r="N68" s="4">
        <v>1</v>
      </c>
      <c r="O68" s="4">
        <v>1</v>
      </c>
      <c r="P68" s="4">
        <v>1</v>
      </c>
      <c r="Q68" s="4">
        <v>1</v>
      </c>
      <c r="R68" s="4">
        <v>1</v>
      </c>
      <c r="S68" s="4">
        <v>1</v>
      </c>
      <c r="T68" s="4">
        <v>1</v>
      </c>
      <c r="U68" s="4">
        <v>1</v>
      </c>
      <c r="V68" s="4">
        <v>1</v>
      </c>
      <c r="W68" s="4">
        <v>1</v>
      </c>
      <c r="X68" s="4">
        <v>1</v>
      </c>
      <c r="Y68" s="4">
        <v>1</v>
      </c>
      <c r="Z68" s="4">
        <v>1</v>
      </c>
      <c r="AA68" s="4">
        <v>1</v>
      </c>
      <c r="AB68" s="4">
        <v>1</v>
      </c>
      <c r="AC68" s="4">
        <v>1</v>
      </c>
      <c r="AD68" s="4">
        <v>1</v>
      </c>
      <c r="AE68" s="4">
        <v>1</v>
      </c>
      <c r="AF68" s="4">
        <v>1</v>
      </c>
      <c r="AG68" s="4">
        <v>1</v>
      </c>
      <c r="AH68" s="4">
        <v>1</v>
      </c>
      <c r="AI68" s="4">
        <v>1</v>
      </c>
      <c r="AJ68" s="4">
        <v>1</v>
      </c>
      <c r="AK68" s="4">
        <v>1</v>
      </c>
      <c r="AL68" s="4">
        <v>1</v>
      </c>
      <c r="AM68" s="4">
        <v>1</v>
      </c>
      <c r="AN68" s="4">
        <v>1</v>
      </c>
      <c r="AO68" s="4">
        <v>1</v>
      </c>
      <c r="AP68" s="4">
        <v>1</v>
      </c>
      <c r="AQ68" s="4">
        <v>1</v>
      </c>
      <c r="AR68" s="4">
        <v>1</v>
      </c>
      <c r="AS68" s="4">
        <v>1</v>
      </c>
      <c r="AT68" s="4">
        <v>1</v>
      </c>
      <c r="AU68" s="4">
        <v>1</v>
      </c>
      <c r="AV68" s="4">
        <v>1</v>
      </c>
      <c r="AW68" s="4">
        <v>1</v>
      </c>
      <c r="AX68" s="4">
        <v>1</v>
      </c>
      <c r="AY68" s="4">
        <v>1</v>
      </c>
      <c r="AZ68" s="4">
        <v>1</v>
      </c>
      <c r="BA68" s="4">
        <v>1</v>
      </c>
      <c r="BB68" s="4">
        <v>1</v>
      </c>
      <c r="BC68" s="4">
        <v>1</v>
      </c>
      <c r="BD68" s="4">
        <v>1</v>
      </c>
      <c r="BE68" s="4">
        <v>1</v>
      </c>
      <c r="BF68" s="4">
        <v>1</v>
      </c>
      <c r="BG68" s="4">
        <v>1</v>
      </c>
      <c r="BH68" s="4">
        <v>1</v>
      </c>
      <c r="BI68" s="4">
        <v>1</v>
      </c>
      <c r="BJ68" s="4">
        <v>1</v>
      </c>
      <c r="BK68" s="4">
        <v>1</v>
      </c>
      <c r="BL68" s="4">
        <v>1</v>
      </c>
      <c r="BM68" s="4">
        <v>1</v>
      </c>
    </row>
    <row r="69" spans="2:65" x14ac:dyDescent="0.3">
      <c r="D69" s="4">
        <v>2</v>
      </c>
      <c r="E69" s="4">
        <v>3</v>
      </c>
      <c r="F69" s="4">
        <v>4</v>
      </c>
      <c r="G69" s="4">
        <v>5</v>
      </c>
      <c r="H69" s="4">
        <v>6</v>
      </c>
      <c r="I69" s="4">
        <v>7</v>
      </c>
      <c r="J69" s="4">
        <v>8</v>
      </c>
      <c r="K69" s="4">
        <v>9</v>
      </c>
      <c r="L69" s="4">
        <v>10</v>
      </c>
      <c r="M69" s="4">
        <v>11</v>
      </c>
      <c r="N69" s="4">
        <v>12</v>
      </c>
      <c r="O69" s="4">
        <v>13</v>
      </c>
      <c r="P69" s="4">
        <v>14</v>
      </c>
      <c r="Q69" s="4">
        <v>15</v>
      </c>
      <c r="R69" s="4">
        <v>16</v>
      </c>
      <c r="S69" s="4">
        <v>17</v>
      </c>
      <c r="T69" s="4">
        <v>18</v>
      </c>
      <c r="U69" s="4">
        <v>19</v>
      </c>
      <c r="V69" s="4">
        <v>20</v>
      </c>
      <c r="W69" s="4">
        <v>21</v>
      </c>
      <c r="X69" s="4">
        <v>22</v>
      </c>
      <c r="Y69" s="4">
        <v>23</v>
      </c>
      <c r="Z69" s="4">
        <v>24</v>
      </c>
      <c r="AA69" s="4">
        <v>25</v>
      </c>
      <c r="AB69" s="4">
        <v>26</v>
      </c>
      <c r="AC69" s="4">
        <v>27</v>
      </c>
      <c r="AD69" s="4">
        <v>28</v>
      </c>
      <c r="AE69" s="4">
        <v>29</v>
      </c>
      <c r="AF69" s="4">
        <v>30</v>
      </c>
      <c r="AG69" s="4">
        <v>31</v>
      </c>
      <c r="AH69" s="4">
        <v>32</v>
      </c>
      <c r="AI69" s="4">
        <v>33</v>
      </c>
      <c r="AJ69" s="4">
        <v>34</v>
      </c>
      <c r="AK69" s="4">
        <v>35</v>
      </c>
      <c r="AL69" s="4">
        <v>36</v>
      </c>
      <c r="AM69" s="4">
        <v>37</v>
      </c>
      <c r="AN69" s="4">
        <v>38</v>
      </c>
      <c r="AO69" s="4">
        <v>39</v>
      </c>
      <c r="AP69" s="4">
        <v>40</v>
      </c>
      <c r="AQ69" s="4">
        <v>41</v>
      </c>
      <c r="AR69" s="4">
        <v>42</v>
      </c>
      <c r="AS69" s="4">
        <v>43</v>
      </c>
      <c r="AT69" s="4">
        <v>44</v>
      </c>
      <c r="AU69" s="4">
        <v>45</v>
      </c>
      <c r="AV69" s="4">
        <v>46</v>
      </c>
      <c r="AW69" s="4">
        <v>47</v>
      </c>
      <c r="AX69" s="4">
        <v>48</v>
      </c>
      <c r="AY69" s="4">
        <v>49</v>
      </c>
      <c r="AZ69" s="4">
        <v>50</v>
      </c>
      <c r="BA69" s="4">
        <v>51</v>
      </c>
      <c r="BB69" s="4">
        <v>52</v>
      </c>
      <c r="BC69" s="4">
        <v>53</v>
      </c>
      <c r="BD69" s="4">
        <v>54</v>
      </c>
      <c r="BE69" s="4">
        <v>55</v>
      </c>
      <c r="BF69" s="4">
        <v>56</v>
      </c>
      <c r="BG69" s="4">
        <v>57</v>
      </c>
      <c r="BH69" s="4">
        <v>58</v>
      </c>
      <c r="BI69" s="4">
        <v>59</v>
      </c>
      <c r="BJ69" s="4">
        <v>60</v>
      </c>
      <c r="BK69" s="4">
        <v>61</v>
      </c>
      <c r="BL69" s="4">
        <v>62</v>
      </c>
      <c r="BM69" s="4">
        <v>63</v>
      </c>
    </row>
    <row r="72" spans="2:65" x14ac:dyDescent="0.3">
      <c r="D72" cm="1">
        <f t="array" ref="D72:E73">MMULT(_xlfn.ANCHORARRAY(D68),D2:E63)</f>
        <v>62</v>
      </c>
      <c r="E72">
        <v>2015</v>
      </c>
      <c r="G72" s="5" cm="1">
        <f t="array" ref="G72:H73">MINVERSE(_xlfn.ANCHORARRAY(D72))</f>
        <v>6.932587947923749E-2</v>
      </c>
      <c r="H72" s="5">
        <v>-1.6368260683437843E-3</v>
      </c>
    </row>
    <row r="73" spans="2:65" x14ac:dyDescent="0.3">
      <c r="D73">
        <v>2015</v>
      </c>
      <c r="E73">
        <v>85343</v>
      </c>
      <c r="G73" s="5">
        <v>-1.6368260683437838E-3</v>
      </c>
      <c r="H73" s="5">
        <v>5.0363879025962586E-5</v>
      </c>
    </row>
    <row r="76" spans="2:65" x14ac:dyDescent="0.3">
      <c r="D76" cm="1">
        <f t="array" ref="D76:D77">MMULT(_xlfn.ANCHORARRAY(D68),B2:B63)</f>
        <v>2627138.4999999995</v>
      </c>
      <c r="H76" t="s">
        <v>16</v>
      </c>
      <c r="I76" s="7">
        <f>H65/(62-1-1)</f>
        <v>26294613.752989948</v>
      </c>
    </row>
    <row r="77" spans="2:65" x14ac:dyDescent="0.3">
      <c r="D77">
        <v>87110548.100000009</v>
      </c>
      <c r="I77" s="7"/>
    </row>
    <row r="79" spans="2:65" x14ac:dyDescent="0.3">
      <c r="E79" t="s">
        <v>20</v>
      </c>
      <c r="F79" t="s">
        <v>21</v>
      </c>
      <c r="G79" t="s">
        <v>22</v>
      </c>
    </row>
    <row r="80" spans="2:65" x14ac:dyDescent="0.3">
      <c r="C80" t="s">
        <v>11</v>
      </c>
      <c r="D80" s="21" cm="1">
        <f t="array" ref="D80:D81">MMULT(_xlfn.ANCHORARRAY(G72),_xlfn.ANCHORARRAY(D76))</f>
        <v>39543.871068469598</v>
      </c>
      <c r="E80">
        <f>D85^0.5</f>
        <v>1350.147111981832</v>
      </c>
      <c r="F80">
        <f>D80/E80</f>
        <v>29.288564718273243</v>
      </c>
      <c r="G80">
        <f>_xlfn.T.DIST.2T(F80,62-1-1)</f>
        <v>3.0694366968955009E-37</v>
      </c>
    </row>
    <row r="81" spans="3:36" x14ac:dyDescent="0.3">
      <c r="C81" t="s">
        <v>12</v>
      </c>
      <c r="D81" s="21">
        <v>87.056324444110942</v>
      </c>
      <c r="E81">
        <f>E86^0.5</f>
        <v>36.390915708319262</v>
      </c>
      <c r="F81">
        <f>D81/E81</f>
        <v>2.3922542961514197</v>
      </c>
      <c r="G81">
        <f>_xlfn.T.DIST.2T(F81,62-1-1)</f>
        <v>1.9894371979250338E-2</v>
      </c>
    </row>
    <row r="84" spans="3:36" x14ac:dyDescent="0.3">
      <c r="C84" t="s">
        <v>19</v>
      </c>
    </row>
    <row r="85" spans="3:36" x14ac:dyDescent="0.3">
      <c r="D85">
        <f>I76*G72</f>
        <v>1822897.2239928816</v>
      </c>
      <c r="E85">
        <f>I76*H72</f>
        <v>-43039.709247924933</v>
      </c>
      <c r="H85" t="s">
        <v>17</v>
      </c>
      <c r="I85" s="9">
        <v>87.056324444110942</v>
      </c>
      <c r="J85" t="s">
        <v>71</v>
      </c>
    </row>
    <row r="86" spans="3:36" x14ac:dyDescent="0.3">
      <c r="D86">
        <f>I76*G73</f>
        <v>-43039.709247924926</v>
      </c>
      <c r="E86">
        <f>I76*H73</f>
        <v>1324.2987460899978</v>
      </c>
      <c r="H86" t="s">
        <v>18</v>
      </c>
      <c r="I86" s="8">
        <f>I85/B65</f>
        <v>2.0545137287337075E-3</v>
      </c>
      <c r="J86" t="s">
        <v>72</v>
      </c>
    </row>
    <row r="90" spans="3:36" ht="15.6" x14ac:dyDescent="0.3">
      <c r="H90" s="14" t="s">
        <v>65</v>
      </c>
      <c r="I90" s="12">
        <v>26294613.752989948</v>
      </c>
      <c r="J90" s="11">
        <f>I90/MIN($I$90:$I$94)</f>
        <v>3.6087597289152828</v>
      </c>
    </row>
    <row r="91" spans="3:36" ht="15.6" x14ac:dyDescent="0.3">
      <c r="H91" s="14" t="s">
        <v>66</v>
      </c>
      <c r="I91" s="12">
        <v>28909897.219250925</v>
      </c>
      <c r="J91" s="11">
        <f t="shared" ref="J91:J94" si="60">I91/MIN($I$90:$I$94)</f>
        <v>3.9676898786942432</v>
      </c>
    </row>
    <row r="92" spans="3:36" ht="15.6" x14ac:dyDescent="0.3">
      <c r="H92" s="15" t="s">
        <v>67</v>
      </c>
      <c r="I92" s="12">
        <v>26220950.039715171</v>
      </c>
      <c r="J92" s="11">
        <f t="shared" si="60"/>
        <v>3.5986498773523121</v>
      </c>
    </row>
    <row r="93" spans="3:36" ht="15.6" x14ac:dyDescent="0.3">
      <c r="H93" s="15" t="s">
        <v>68</v>
      </c>
      <c r="I93" s="7">
        <v>7286329.8551864391</v>
      </c>
      <c r="J93" s="11">
        <f t="shared" si="60"/>
        <v>1</v>
      </c>
    </row>
    <row r="94" spans="3:36" ht="15.6" x14ac:dyDescent="0.3">
      <c r="H94" s="15" t="s">
        <v>69</v>
      </c>
      <c r="I94" s="12">
        <v>26740211.513655204</v>
      </c>
      <c r="J94" s="11">
        <f t="shared" si="60"/>
        <v>3.6699150388616313</v>
      </c>
    </row>
    <row r="95" spans="3:36" x14ac:dyDescent="0.3"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  <row r="96" spans="3:36" x14ac:dyDescent="0.3">
      <c r="I96" t="s">
        <v>70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2DCFF-398D-47B4-81B5-70BC65AC7419}">
  <dimension ref="A1:BN97"/>
  <sheetViews>
    <sheetView topLeftCell="A82" zoomScaleNormal="100" workbookViewId="0">
      <selection activeCell="A2" sqref="A2:B63"/>
    </sheetView>
  </sheetViews>
  <sheetFormatPr defaultColWidth="9.109375" defaultRowHeight="15.6" x14ac:dyDescent="0.3"/>
  <cols>
    <col min="1" max="1" width="9.109375" style="10"/>
    <col min="2" max="2" width="11.5546875" style="10" customWidth="1"/>
    <col min="3" max="3" width="12.33203125" style="10" customWidth="1"/>
    <col min="4" max="4" width="16.21875" style="10" customWidth="1"/>
    <col min="5" max="6" width="11.5546875" style="10" customWidth="1"/>
    <col min="7" max="7" width="19.77734375" style="10" customWidth="1"/>
    <col min="8" max="8" width="19" style="10" customWidth="1"/>
    <col min="9" max="9" width="18.6640625" style="10" customWidth="1"/>
    <col min="10" max="10" width="18.88671875" style="10" customWidth="1"/>
    <col min="11" max="11" width="15.21875" style="10" customWidth="1"/>
    <col min="12" max="12" width="9" style="10" customWidth="1"/>
    <col min="13" max="13" width="8.21875" style="10" customWidth="1"/>
    <col min="14" max="14" width="7.6640625" style="10" customWidth="1"/>
    <col min="15" max="15" width="18.5546875" style="10" customWidth="1"/>
    <col min="16" max="18" width="9.109375" style="10"/>
    <col min="19" max="33" width="5" style="10" bestFit="1" customWidth="1"/>
    <col min="34" max="37" width="6.21875" style="10" bestFit="1" customWidth="1"/>
    <col min="38" max="65" width="5.88671875" style="10" bestFit="1" customWidth="1"/>
    <col min="66" max="16384" width="9.109375" style="10"/>
  </cols>
  <sheetData>
    <row r="1" spans="1:17" x14ac:dyDescent="0.3">
      <c r="A1" t="s">
        <v>0</v>
      </c>
      <c r="B1" t="s">
        <v>1</v>
      </c>
      <c r="C1"/>
      <c r="D1"/>
      <c r="E1" t="s">
        <v>50</v>
      </c>
      <c r="F1" t="s">
        <v>51</v>
      </c>
      <c r="G1" t="s">
        <v>13</v>
      </c>
      <c r="H1" t="s">
        <v>14</v>
      </c>
      <c r="I1" t="s">
        <v>15</v>
      </c>
      <c r="J1" t="s">
        <v>2</v>
      </c>
      <c r="K1" t="s">
        <v>3</v>
      </c>
      <c r="N1"/>
      <c r="O1" t="s">
        <v>52</v>
      </c>
      <c r="P1"/>
      <c r="Q1"/>
    </row>
    <row r="2" spans="1:17" x14ac:dyDescent="0.3">
      <c r="A2">
        <v>2010.1</v>
      </c>
      <c r="B2" s="6">
        <v>48489.7</v>
      </c>
      <c r="C2"/>
      <c r="D2" s="23">
        <v>1</v>
      </c>
      <c r="E2" s="23">
        <v>2</v>
      </c>
      <c r="F2" s="23">
        <f>E2*E2</f>
        <v>4</v>
      </c>
      <c r="G2" s="40">
        <f t="shared" ref="G2:G35" si="0">$D$85+$D$86*E2+$D$87*F2</f>
        <v>48884.396303762638</v>
      </c>
      <c r="H2" s="40">
        <f t="shared" ref="H2:H63" si="1">B2-G2</f>
        <v>-394.69630376264104</v>
      </c>
      <c r="I2" s="40">
        <f>H2^2</f>
        <v>155785.17220389101</v>
      </c>
      <c r="J2"/>
      <c r="K2"/>
      <c r="N2"/>
      <c r="O2" t="s">
        <v>5</v>
      </c>
      <c r="P2" t="s">
        <v>6</v>
      </c>
      <c r="Q2"/>
    </row>
    <row r="3" spans="1:17" x14ac:dyDescent="0.3">
      <c r="A3">
        <v>2010.2</v>
      </c>
      <c r="B3" s="6">
        <v>49856.6</v>
      </c>
      <c r="C3"/>
      <c r="D3" s="23">
        <v>1</v>
      </c>
      <c r="E3" s="23">
        <f>E2+1</f>
        <v>3</v>
      </c>
      <c r="F3" s="23">
        <f t="shared" ref="F3:F63" si="2">E3*E3</f>
        <v>9</v>
      </c>
      <c r="G3" s="40">
        <f t="shared" si="0"/>
        <v>48069.838275445574</v>
      </c>
      <c r="H3" s="40">
        <f t="shared" si="1"/>
        <v>1786.7617245544243</v>
      </c>
      <c r="I3" s="40">
        <f t="shared" ref="I3:I63" si="3">H3^2</f>
        <v>3192517.4603327005</v>
      </c>
      <c r="J3">
        <f t="shared" ref="J3:J34" si="4">B3-B2</f>
        <v>1366.9000000000015</v>
      </c>
      <c r="K3" s="24">
        <f>J3-$P$4</f>
        <v>-1562.7245833333318</v>
      </c>
      <c r="N3" t="s">
        <v>7</v>
      </c>
      <c r="O3" s="24">
        <f>AVERAGE(J6,J10,J14,J18,J22,J26,J30,J34,J38,J42,J46,J50,J54,J58,J62)</f>
        <v>-4031.08</v>
      </c>
      <c r="P3" s="24">
        <f>O3-$O$7</f>
        <v>-4068.7304166666668</v>
      </c>
      <c r="Q3"/>
    </row>
    <row r="4" spans="1:17" x14ac:dyDescent="0.3">
      <c r="A4">
        <v>2010.3</v>
      </c>
      <c r="B4" s="6">
        <v>48755.4</v>
      </c>
      <c r="C4"/>
      <c r="D4" s="23">
        <v>1</v>
      </c>
      <c r="E4" s="23">
        <f t="shared" ref="E4:E63" si="5">E3+1</f>
        <v>4</v>
      </c>
      <c r="F4" s="23">
        <f t="shared" si="2"/>
        <v>16</v>
      </c>
      <c r="G4" s="40">
        <f t="shared" si="0"/>
        <v>47285.334058887209</v>
      </c>
      <c r="H4" s="40">
        <f t="shared" si="1"/>
        <v>1470.0659411127926</v>
      </c>
      <c r="I4" s="40">
        <f t="shared" si="3"/>
        <v>2161093.8712198408</v>
      </c>
      <c r="J4">
        <f t="shared" si="4"/>
        <v>-1101.1999999999971</v>
      </c>
      <c r="K4" s="24">
        <f>J4-$P$5</f>
        <v>-3590.0295833333312</v>
      </c>
      <c r="N4" t="s">
        <v>8</v>
      </c>
      <c r="O4" s="24">
        <f>AVERAGE(J7,J11,J15,J19,J23,J27,J31,J35,J3,J39,J43,J47,J51,J55,J59,J63)</f>
        <v>2967.2750000000001</v>
      </c>
      <c r="P4" s="24">
        <f t="shared" ref="P4:P6" si="6">O4-$O$7</f>
        <v>2929.6245833333332</v>
      </c>
      <c r="Q4"/>
    </row>
    <row r="5" spans="1:17" x14ac:dyDescent="0.3">
      <c r="A5">
        <v>2010.4</v>
      </c>
      <c r="B5" s="6">
        <v>50094</v>
      </c>
      <c r="C5"/>
      <c r="D5" s="23">
        <v>1</v>
      </c>
      <c r="E5" s="23">
        <f t="shared" si="5"/>
        <v>5</v>
      </c>
      <c r="F5" s="23">
        <f t="shared" si="2"/>
        <v>25</v>
      </c>
      <c r="G5" s="40">
        <f t="shared" si="0"/>
        <v>46530.883654087556</v>
      </c>
      <c r="H5" s="40">
        <f t="shared" si="1"/>
        <v>3563.1163459124436</v>
      </c>
      <c r="I5" s="40">
        <f t="shared" si="3"/>
        <v>12695798.094508445</v>
      </c>
      <c r="J5">
        <f t="shared" si="4"/>
        <v>1338.5999999999985</v>
      </c>
      <c r="K5" s="24">
        <f>J5-$P$6</f>
        <v>2688.3237499999996</v>
      </c>
      <c r="N5" t="s">
        <v>9</v>
      </c>
      <c r="O5" s="24">
        <f>AVERAGE(J8,J12,J16,J20,J24,J28,J32,J4,J36,J40,J44,J48,J52,J56,J60)</f>
        <v>2526.4800000000009</v>
      </c>
      <c r="P5" s="24">
        <f t="shared" si="6"/>
        <v>2488.8295833333341</v>
      </c>
      <c r="Q5"/>
    </row>
    <row r="6" spans="1:17" x14ac:dyDescent="0.3">
      <c r="A6">
        <v>2011.1</v>
      </c>
      <c r="B6" s="6">
        <v>43083.6</v>
      </c>
      <c r="C6"/>
      <c r="D6" s="23">
        <v>1</v>
      </c>
      <c r="E6" s="23">
        <f t="shared" si="5"/>
        <v>6</v>
      </c>
      <c r="F6" s="23">
        <f t="shared" si="2"/>
        <v>36</v>
      </c>
      <c r="G6" s="40">
        <f t="shared" si="0"/>
        <v>45806.48706104661</v>
      </c>
      <c r="H6" s="40">
        <f t="shared" si="1"/>
        <v>-2722.8870610466111</v>
      </c>
      <c r="I6" s="40">
        <f t="shared" si="3"/>
        <v>7414113.9472150514</v>
      </c>
      <c r="J6">
        <f t="shared" si="4"/>
        <v>-7010.4000000000015</v>
      </c>
      <c r="K6" s="24">
        <f>J6-$P$3</f>
        <v>-2941.6695833333347</v>
      </c>
      <c r="N6" t="s">
        <v>10</v>
      </c>
      <c r="O6" s="24">
        <f>AVERAGE(J9,J13,J17,J21,J25,J29,J33,J5,J37,J41,J45,J49,J53,J57,J61)</f>
        <v>-1312.0733333333342</v>
      </c>
      <c r="P6" s="24">
        <f t="shared" si="6"/>
        <v>-1349.723750000001</v>
      </c>
      <c r="Q6"/>
    </row>
    <row r="7" spans="1:17" x14ac:dyDescent="0.3">
      <c r="A7">
        <v>2011.2</v>
      </c>
      <c r="B7" s="6">
        <v>45650.8</v>
      </c>
      <c r="C7"/>
      <c r="D7" s="23">
        <v>1</v>
      </c>
      <c r="E7" s="23">
        <f t="shared" si="5"/>
        <v>7</v>
      </c>
      <c r="F7" s="23">
        <f t="shared" si="2"/>
        <v>49</v>
      </c>
      <c r="G7" s="40">
        <f t="shared" si="0"/>
        <v>45112.144279764369</v>
      </c>
      <c r="H7" s="40">
        <f t="shared" si="1"/>
        <v>538.65572023563436</v>
      </c>
      <c r="I7" s="40">
        <f t="shared" si="3"/>
        <v>290149.98494256998</v>
      </c>
      <c r="J7">
        <f t="shared" si="4"/>
        <v>2567.2000000000044</v>
      </c>
      <c r="K7" s="24">
        <f t="shared" ref="K7" si="7">J7-$P$4</f>
        <v>-362.42458333332888</v>
      </c>
      <c r="N7"/>
      <c r="O7" s="24">
        <f>AVERAGE(O3:O6)</f>
        <v>37.650416666666729</v>
      </c>
      <c r="P7" s="27">
        <f>SUM(P3:P6)</f>
        <v>0</v>
      </c>
      <c r="Q7"/>
    </row>
    <row r="8" spans="1:17" x14ac:dyDescent="0.3">
      <c r="A8">
        <v>2011.3</v>
      </c>
      <c r="B8" s="6">
        <v>45345</v>
      </c>
      <c r="C8"/>
      <c r="D8" s="23">
        <v>1</v>
      </c>
      <c r="E8" s="23">
        <f t="shared" si="5"/>
        <v>8</v>
      </c>
      <c r="F8" s="23">
        <f t="shared" si="2"/>
        <v>64</v>
      </c>
      <c r="G8" s="40">
        <f t="shared" si="0"/>
        <v>44447.855310240833</v>
      </c>
      <c r="H8" s="40">
        <f t="shared" si="1"/>
        <v>897.14468975916679</v>
      </c>
      <c r="I8" s="40">
        <f t="shared" si="3"/>
        <v>804868.59436307161</v>
      </c>
      <c r="J8">
        <f t="shared" si="4"/>
        <v>-305.80000000000291</v>
      </c>
      <c r="K8" s="24">
        <f t="shared" ref="K8" si="8">J8-$P$5</f>
        <v>-2794.629583333337</v>
      </c>
      <c r="N8"/>
      <c r="O8"/>
      <c r="P8"/>
      <c r="Q8"/>
    </row>
    <row r="9" spans="1:17" x14ac:dyDescent="0.3">
      <c r="A9">
        <v>2011.4</v>
      </c>
      <c r="B9" s="6">
        <v>44267.9</v>
      </c>
      <c r="C9"/>
      <c r="D9" s="23">
        <v>1</v>
      </c>
      <c r="E9" s="23">
        <f t="shared" si="5"/>
        <v>9</v>
      </c>
      <c r="F9" s="23">
        <f t="shared" si="2"/>
        <v>81</v>
      </c>
      <c r="G9" s="40">
        <f t="shared" si="0"/>
        <v>43813.620152476004</v>
      </c>
      <c r="H9" s="40">
        <f t="shared" si="1"/>
        <v>454.27984752399789</v>
      </c>
      <c r="I9" s="40">
        <f t="shared" si="3"/>
        <v>206370.17986642677</v>
      </c>
      <c r="J9">
        <f t="shared" si="4"/>
        <v>-1077.0999999999985</v>
      </c>
      <c r="K9" s="24">
        <f t="shared" ref="K9" si="9">J9-$P$6</f>
        <v>272.62375000000247</v>
      </c>
    </row>
    <row r="10" spans="1:17" x14ac:dyDescent="0.3">
      <c r="A10">
        <v>2012.1</v>
      </c>
      <c r="B10" s="6">
        <v>39075.199999999997</v>
      </c>
      <c r="C10"/>
      <c r="D10" s="23">
        <v>1</v>
      </c>
      <c r="E10" s="23">
        <f t="shared" si="5"/>
        <v>10</v>
      </c>
      <c r="F10" s="23">
        <f t="shared" si="2"/>
        <v>100</v>
      </c>
      <c r="G10" s="40">
        <f t="shared" si="0"/>
        <v>43209.43880646988</v>
      </c>
      <c r="H10" s="40">
        <f t="shared" si="1"/>
        <v>-4134.2388064698825</v>
      </c>
      <c r="I10" s="40">
        <f t="shared" si="3"/>
        <v>17091930.508921519</v>
      </c>
      <c r="J10">
        <f t="shared" si="4"/>
        <v>-5192.7000000000044</v>
      </c>
      <c r="K10" s="24">
        <f t="shared" ref="K10" si="10">J10-$P$3</f>
        <v>-1123.9695833333376</v>
      </c>
    </row>
    <row r="11" spans="1:17" x14ac:dyDescent="0.3">
      <c r="A11">
        <v>2012.2</v>
      </c>
      <c r="B11" s="6">
        <v>41223.800000000003</v>
      </c>
      <c r="C11"/>
      <c r="D11" s="23">
        <v>1</v>
      </c>
      <c r="E11" s="23">
        <f t="shared" si="5"/>
        <v>11</v>
      </c>
      <c r="F11" s="23">
        <f t="shared" si="2"/>
        <v>121</v>
      </c>
      <c r="G11" s="40">
        <f t="shared" si="0"/>
        <v>42635.311272222461</v>
      </c>
      <c r="H11" s="40">
        <f t="shared" si="1"/>
        <v>-1411.5112722224585</v>
      </c>
      <c r="I11" s="40">
        <f t="shared" si="3"/>
        <v>1992364.0716110633</v>
      </c>
      <c r="J11">
        <f t="shared" si="4"/>
        <v>2148.6000000000058</v>
      </c>
      <c r="K11" s="24">
        <f t="shared" ref="K11:K63" si="11">J11-$P$4</f>
        <v>-781.02458333332743</v>
      </c>
    </row>
    <row r="12" spans="1:17" x14ac:dyDescent="0.3">
      <c r="A12">
        <v>2012.3</v>
      </c>
      <c r="B12" s="6">
        <v>41766.800000000003</v>
      </c>
      <c r="C12"/>
      <c r="D12" s="23">
        <v>1</v>
      </c>
      <c r="E12" s="23">
        <f t="shared" si="5"/>
        <v>12</v>
      </c>
      <c r="F12" s="23">
        <f t="shared" si="2"/>
        <v>144</v>
      </c>
      <c r="G12" s="40">
        <f t="shared" si="0"/>
        <v>42091.237549733749</v>
      </c>
      <c r="H12" s="40">
        <f t="shared" si="1"/>
        <v>-324.43754973374598</v>
      </c>
      <c r="I12" s="40">
        <f t="shared" si="3"/>
        <v>105259.72367723689</v>
      </c>
      <c r="J12">
        <f t="shared" si="4"/>
        <v>543</v>
      </c>
      <c r="K12" s="24">
        <f t="shared" ref="K12:K60" si="12">J12-$P$5</f>
        <v>-1945.8295833333341</v>
      </c>
    </row>
    <row r="13" spans="1:17" x14ac:dyDescent="0.3">
      <c r="A13">
        <v>2012.4</v>
      </c>
      <c r="B13" s="6">
        <v>41700.400000000001</v>
      </c>
      <c r="C13"/>
      <c r="D13" s="23">
        <v>1</v>
      </c>
      <c r="E13" s="23">
        <f t="shared" si="5"/>
        <v>13</v>
      </c>
      <c r="F13" s="23">
        <f t="shared" si="2"/>
        <v>169</v>
      </c>
      <c r="G13" s="40">
        <f t="shared" si="0"/>
        <v>41577.217639003749</v>
      </c>
      <c r="H13" s="40">
        <f t="shared" si="1"/>
        <v>123.1823609962521</v>
      </c>
      <c r="I13" s="40">
        <f t="shared" si="3"/>
        <v>15173.89406061097</v>
      </c>
      <c r="J13">
        <f t="shared" si="4"/>
        <v>-66.400000000001455</v>
      </c>
      <c r="K13" s="24">
        <f t="shared" ref="K13:K61" si="13">J13-$P$6</f>
        <v>1283.3237499999996</v>
      </c>
    </row>
    <row r="14" spans="1:17" x14ac:dyDescent="0.3">
      <c r="A14">
        <v>2013.1</v>
      </c>
      <c r="B14" s="6">
        <v>36810.699999999997</v>
      </c>
      <c r="C14"/>
      <c r="D14" s="23">
        <v>1</v>
      </c>
      <c r="E14" s="23">
        <f t="shared" si="5"/>
        <v>14</v>
      </c>
      <c r="F14" s="23">
        <f t="shared" si="2"/>
        <v>196</v>
      </c>
      <c r="G14" s="40">
        <f t="shared" si="0"/>
        <v>41093.251540032448</v>
      </c>
      <c r="H14" s="40">
        <f t="shared" si="1"/>
        <v>-4282.5515400324512</v>
      </c>
      <c r="I14" s="40">
        <f t="shared" si="3"/>
        <v>18340247.693034317</v>
      </c>
      <c r="J14">
        <f t="shared" si="4"/>
        <v>-4889.7000000000044</v>
      </c>
      <c r="K14" s="24">
        <f t="shared" ref="K14" si="14">J14-$P$3</f>
        <v>-820.9695833333376</v>
      </c>
    </row>
    <row r="15" spans="1:17" x14ac:dyDescent="0.3">
      <c r="A15">
        <v>2013.2</v>
      </c>
      <c r="B15" s="6">
        <v>39772.1</v>
      </c>
      <c r="C15"/>
      <c r="D15" s="23">
        <v>1</v>
      </c>
      <c r="E15" s="23">
        <f t="shared" si="5"/>
        <v>15</v>
      </c>
      <c r="F15" s="23">
        <f t="shared" si="2"/>
        <v>225</v>
      </c>
      <c r="G15" s="40">
        <f t="shared" si="0"/>
        <v>40639.33925281986</v>
      </c>
      <c r="H15" s="40">
        <f t="shared" si="1"/>
        <v>-867.23925281986158</v>
      </c>
      <c r="I15" s="40">
        <f t="shared" si="3"/>
        <v>752103.92163155181</v>
      </c>
      <c r="J15">
        <f t="shared" si="4"/>
        <v>2961.4000000000015</v>
      </c>
      <c r="K15" s="24">
        <f t="shared" si="11"/>
        <v>31.775416666668207</v>
      </c>
    </row>
    <row r="16" spans="1:17" x14ac:dyDescent="0.3">
      <c r="A16">
        <v>2013.3</v>
      </c>
      <c r="B16" s="6">
        <v>40769.199999999997</v>
      </c>
      <c r="C16"/>
      <c r="D16" s="23">
        <v>1</v>
      </c>
      <c r="E16" s="23">
        <f t="shared" si="5"/>
        <v>16</v>
      </c>
      <c r="F16" s="23">
        <f t="shared" si="2"/>
        <v>256</v>
      </c>
      <c r="G16" s="40">
        <f t="shared" si="0"/>
        <v>40215.48077736597</v>
      </c>
      <c r="H16" s="40">
        <f t="shared" si="1"/>
        <v>553.71922263402666</v>
      </c>
      <c r="I16" s="40">
        <f t="shared" si="3"/>
        <v>306604.97751443076</v>
      </c>
      <c r="J16">
        <f t="shared" si="4"/>
        <v>997.09999999999854</v>
      </c>
      <c r="K16" s="24">
        <f t="shared" si="12"/>
        <v>-1491.7295833333355</v>
      </c>
    </row>
    <row r="17" spans="1:11" x14ac:dyDescent="0.3">
      <c r="A17">
        <v>2013.4</v>
      </c>
      <c r="B17" s="6">
        <v>40443.199999999997</v>
      </c>
      <c r="C17"/>
      <c r="D17" s="23">
        <v>1</v>
      </c>
      <c r="E17" s="23">
        <f t="shared" si="5"/>
        <v>17</v>
      </c>
      <c r="F17" s="23">
        <f t="shared" si="2"/>
        <v>289</v>
      </c>
      <c r="G17" s="40">
        <f t="shared" si="0"/>
        <v>39821.676113670794</v>
      </c>
      <c r="H17" s="40">
        <f t="shared" si="1"/>
        <v>621.52388632920338</v>
      </c>
      <c r="I17" s="40">
        <f t="shared" si="3"/>
        <v>386291.94127775653</v>
      </c>
      <c r="J17">
        <f t="shared" si="4"/>
        <v>-326</v>
      </c>
      <c r="K17" s="24">
        <f t="shared" si="13"/>
        <v>1023.723750000001</v>
      </c>
    </row>
    <row r="18" spans="1:11" x14ac:dyDescent="0.3">
      <c r="A18">
        <v>2014.1</v>
      </c>
      <c r="B18" s="6">
        <v>36236.6</v>
      </c>
      <c r="C18"/>
      <c r="D18" s="23">
        <v>1</v>
      </c>
      <c r="E18" s="23">
        <f t="shared" si="5"/>
        <v>18</v>
      </c>
      <c r="F18" s="23">
        <f t="shared" si="2"/>
        <v>324</v>
      </c>
      <c r="G18" s="40">
        <f t="shared" si="0"/>
        <v>39457.925261734315</v>
      </c>
      <c r="H18" s="40">
        <f t="shared" si="1"/>
        <v>-3221.3252617343169</v>
      </c>
      <c r="I18" s="40">
        <f t="shared" si="3"/>
        <v>10376936.441887666</v>
      </c>
      <c r="J18">
        <f t="shared" si="4"/>
        <v>-4206.5999999999985</v>
      </c>
      <c r="K18" s="24">
        <f t="shared" ref="K18" si="15">J18-$P$3</f>
        <v>-137.86958333333178</v>
      </c>
    </row>
    <row r="19" spans="1:11" x14ac:dyDescent="0.3">
      <c r="A19">
        <v>2014.2</v>
      </c>
      <c r="B19" s="6">
        <v>38745.9</v>
      </c>
      <c r="C19"/>
      <c r="D19" s="23">
        <v>1</v>
      </c>
      <c r="E19" s="23">
        <f t="shared" si="5"/>
        <v>19</v>
      </c>
      <c r="F19" s="23">
        <f t="shared" si="2"/>
        <v>361</v>
      </c>
      <c r="G19" s="40">
        <f t="shared" si="0"/>
        <v>39124.22822155655</v>
      </c>
      <c r="H19" s="40">
        <f t="shared" si="1"/>
        <v>-378.32822155654867</v>
      </c>
      <c r="I19" s="40">
        <f t="shared" si="3"/>
        <v>143132.24322614097</v>
      </c>
      <c r="J19">
        <f t="shared" si="4"/>
        <v>2509.3000000000029</v>
      </c>
      <c r="K19" s="24">
        <f t="shared" si="11"/>
        <v>-420.32458333333034</v>
      </c>
    </row>
    <row r="20" spans="1:11" x14ac:dyDescent="0.3">
      <c r="A20">
        <v>2014.3</v>
      </c>
      <c r="B20" s="6">
        <v>40325.300000000003</v>
      </c>
      <c r="C20"/>
      <c r="D20" s="23">
        <v>1</v>
      </c>
      <c r="E20" s="23">
        <f t="shared" si="5"/>
        <v>20</v>
      </c>
      <c r="F20" s="23">
        <f t="shared" si="2"/>
        <v>400</v>
      </c>
      <c r="G20" s="40">
        <f t="shared" si="0"/>
        <v>38820.584993137483</v>
      </c>
      <c r="H20" s="40">
        <f t="shared" si="1"/>
        <v>1504.7150068625197</v>
      </c>
      <c r="I20" s="40">
        <f t="shared" si="3"/>
        <v>2264167.2518772725</v>
      </c>
      <c r="J20">
        <f t="shared" si="4"/>
        <v>1579.4000000000015</v>
      </c>
      <c r="K20" s="24">
        <f t="shared" si="12"/>
        <v>-909.42958333333263</v>
      </c>
    </row>
    <row r="21" spans="1:11" x14ac:dyDescent="0.3">
      <c r="A21">
        <v>2014.4</v>
      </c>
      <c r="B21" s="6">
        <v>40047.5</v>
      </c>
      <c r="C21"/>
      <c r="D21" s="23">
        <v>1</v>
      </c>
      <c r="E21" s="23">
        <f t="shared" si="5"/>
        <v>21</v>
      </c>
      <c r="F21" s="23">
        <f t="shared" si="2"/>
        <v>441</v>
      </c>
      <c r="G21" s="40">
        <f t="shared" si="0"/>
        <v>38546.995576477129</v>
      </c>
      <c r="H21" s="40">
        <f t="shared" si="1"/>
        <v>1500.5044235228706</v>
      </c>
      <c r="I21" s="40">
        <f t="shared" si="3"/>
        <v>2251513.5250117024</v>
      </c>
      <c r="J21">
        <f t="shared" si="4"/>
        <v>-277.80000000000291</v>
      </c>
      <c r="K21" s="24">
        <f t="shared" si="13"/>
        <v>1071.9237499999981</v>
      </c>
    </row>
    <row r="22" spans="1:11" x14ac:dyDescent="0.3">
      <c r="A22">
        <v>2015.1</v>
      </c>
      <c r="B22" s="6">
        <v>36268.1</v>
      </c>
      <c r="C22"/>
      <c r="D22" s="23">
        <v>1</v>
      </c>
      <c r="E22" s="23">
        <f t="shared" si="5"/>
        <v>22</v>
      </c>
      <c r="F22" s="23">
        <f t="shared" si="2"/>
        <v>484</v>
      </c>
      <c r="G22" s="40">
        <f t="shared" si="0"/>
        <v>38303.459971575481</v>
      </c>
      <c r="H22" s="40">
        <f t="shared" si="1"/>
        <v>-2035.3599715754826</v>
      </c>
      <c r="I22" s="40">
        <f t="shared" si="3"/>
        <v>4142690.2138917493</v>
      </c>
      <c r="J22">
        <f t="shared" si="4"/>
        <v>-3779.4000000000015</v>
      </c>
      <c r="K22" s="24">
        <f t="shared" ref="K22" si="16">J22-$P$3</f>
        <v>289.33041666666531</v>
      </c>
    </row>
    <row r="23" spans="1:11" x14ac:dyDescent="0.3">
      <c r="A23">
        <v>2015.2</v>
      </c>
      <c r="B23" s="6">
        <v>38729.1</v>
      </c>
      <c r="C23"/>
      <c r="D23" s="23">
        <v>1</v>
      </c>
      <c r="E23" s="23">
        <f t="shared" si="5"/>
        <v>23</v>
      </c>
      <c r="F23" s="23">
        <f t="shared" si="2"/>
        <v>529</v>
      </c>
      <c r="G23" s="40">
        <f t="shared" si="0"/>
        <v>38089.978178432539</v>
      </c>
      <c r="H23" s="40">
        <f t="shared" si="1"/>
        <v>639.12182156745985</v>
      </c>
      <c r="I23" s="40">
        <f t="shared" si="3"/>
        <v>408476.70280370797</v>
      </c>
      <c r="J23">
        <f t="shared" si="4"/>
        <v>2461</v>
      </c>
      <c r="K23" s="24">
        <f t="shared" si="11"/>
        <v>-468.62458333333325</v>
      </c>
    </row>
    <row r="24" spans="1:11" x14ac:dyDescent="0.3">
      <c r="A24">
        <v>2015.3</v>
      </c>
      <c r="B24" s="6">
        <v>39614</v>
      </c>
      <c r="C24"/>
      <c r="D24" s="23">
        <v>1</v>
      </c>
      <c r="E24" s="23">
        <f t="shared" si="5"/>
        <v>24</v>
      </c>
      <c r="F24" s="23">
        <f t="shared" si="2"/>
        <v>576</v>
      </c>
      <c r="G24" s="40">
        <f t="shared" si="0"/>
        <v>37906.550197048302</v>
      </c>
      <c r="H24" s="40">
        <f t="shared" si="1"/>
        <v>1707.4498029516981</v>
      </c>
      <c r="I24" s="40">
        <f t="shared" si="3"/>
        <v>2915384.8295997926</v>
      </c>
      <c r="J24">
        <f t="shared" si="4"/>
        <v>884.90000000000146</v>
      </c>
      <c r="K24" s="24">
        <f t="shared" si="12"/>
        <v>-1603.9295833333326</v>
      </c>
    </row>
    <row r="25" spans="1:11" x14ac:dyDescent="0.3">
      <c r="A25">
        <v>2015.4</v>
      </c>
      <c r="B25" s="6">
        <v>40169.5</v>
      </c>
      <c r="C25"/>
      <c r="D25" s="23">
        <v>1</v>
      </c>
      <c r="E25" s="23">
        <f t="shared" si="5"/>
        <v>25</v>
      </c>
      <c r="F25" s="23">
        <f t="shared" si="2"/>
        <v>625</v>
      </c>
      <c r="G25" s="40">
        <f t="shared" si="0"/>
        <v>37753.176027422771</v>
      </c>
      <c r="H25" s="40">
        <f t="shared" si="1"/>
        <v>2416.3239725772291</v>
      </c>
      <c r="I25" s="40">
        <f t="shared" si="3"/>
        <v>5838621.5404514018</v>
      </c>
      <c r="J25">
        <f t="shared" si="4"/>
        <v>555.5</v>
      </c>
      <c r="K25" s="24">
        <f t="shared" si="13"/>
        <v>1905.223750000001</v>
      </c>
    </row>
    <row r="26" spans="1:11" x14ac:dyDescent="0.3">
      <c r="A26">
        <v>2016.1</v>
      </c>
      <c r="B26" s="6">
        <v>35233.800000000003</v>
      </c>
      <c r="C26"/>
      <c r="D26" s="23">
        <v>1</v>
      </c>
      <c r="E26" s="23">
        <f t="shared" si="5"/>
        <v>26</v>
      </c>
      <c r="F26" s="23">
        <f t="shared" si="2"/>
        <v>676</v>
      </c>
      <c r="G26" s="40">
        <f t="shared" si="0"/>
        <v>37629.855669555945</v>
      </c>
      <c r="H26" s="40">
        <f t="shared" si="1"/>
        <v>-2396.0556695559426</v>
      </c>
      <c r="I26" s="40">
        <f t="shared" si="3"/>
        <v>5741082.7716111764</v>
      </c>
      <c r="J26">
        <f t="shared" si="4"/>
        <v>-4935.6999999999971</v>
      </c>
      <c r="K26" s="24">
        <f t="shared" ref="K26" si="17">J26-$P$3</f>
        <v>-866.96958333333032</v>
      </c>
    </row>
    <row r="27" spans="1:11" x14ac:dyDescent="0.3">
      <c r="A27">
        <v>2016.2</v>
      </c>
      <c r="B27" s="6">
        <v>37936</v>
      </c>
      <c r="C27"/>
      <c r="D27" s="23">
        <v>1</v>
      </c>
      <c r="E27" s="23">
        <f t="shared" si="5"/>
        <v>27</v>
      </c>
      <c r="F27" s="23">
        <f t="shared" si="2"/>
        <v>729</v>
      </c>
      <c r="G27" s="40">
        <f t="shared" si="0"/>
        <v>37536.589123447826</v>
      </c>
      <c r="H27" s="40">
        <f t="shared" si="1"/>
        <v>399.41087655217416</v>
      </c>
      <c r="I27" s="40">
        <f t="shared" si="3"/>
        <v>159529.0483081761</v>
      </c>
      <c r="J27">
        <f t="shared" si="4"/>
        <v>2702.1999999999971</v>
      </c>
      <c r="K27" s="24">
        <f t="shared" si="11"/>
        <v>-227.42458333333616</v>
      </c>
    </row>
    <row r="28" spans="1:11" x14ac:dyDescent="0.3">
      <c r="A28">
        <v>2016.3</v>
      </c>
      <c r="B28" s="6">
        <v>39732</v>
      </c>
      <c r="C28"/>
      <c r="D28" s="23">
        <v>1</v>
      </c>
      <c r="E28" s="23">
        <f t="shared" si="5"/>
        <v>28</v>
      </c>
      <c r="F28" s="23">
        <f t="shared" si="2"/>
        <v>784</v>
      </c>
      <c r="G28" s="40">
        <f t="shared" si="0"/>
        <v>37473.376389098412</v>
      </c>
      <c r="H28" s="40">
        <f t="shared" si="1"/>
        <v>2258.6236109015881</v>
      </c>
      <c r="I28" s="40">
        <f t="shared" si="3"/>
        <v>5101380.6157221282</v>
      </c>
      <c r="J28">
        <f t="shared" si="4"/>
        <v>1796</v>
      </c>
      <c r="K28" s="24">
        <f t="shared" si="12"/>
        <v>-692.82958333333409</v>
      </c>
    </row>
    <row r="29" spans="1:11" x14ac:dyDescent="0.3">
      <c r="A29">
        <v>2016.4</v>
      </c>
      <c r="B29" s="6">
        <v>39113.800000000003</v>
      </c>
      <c r="C29"/>
      <c r="D29" s="23">
        <v>1</v>
      </c>
      <c r="E29" s="23">
        <f t="shared" si="5"/>
        <v>29</v>
      </c>
      <c r="F29" s="23">
        <f t="shared" si="2"/>
        <v>841</v>
      </c>
      <c r="G29" s="40">
        <f t="shared" si="0"/>
        <v>37440.217466507711</v>
      </c>
      <c r="H29" s="40">
        <f t="shared" si="1"/>
        <v>1673.582533492292</v>
      </c>
      <c r="I29" s="40">
        <f t="shared" si="3"/>
        <v>2800878.4964104788</v>
      </c>
      <c r="J29">
        <f t="shared" si="4"/>
        <v>-618.19999999999709</v>
      </c>
      <c r="K29" s="24">
        <f t="shared" si="13"/>
        <v>731.52375000000393</v>
      </c>
    </row>
    <row r="30" spans="1:11" x14ac:dyDescent="0.3">
      <c r="A30">
        <v>2017.1</v>
      </c>
      <c r="B30" s="6">
        <v>35997.300000000003</v>
      </c>
      <c r="C30"/>
      <c r="D30" s="23">
        <v>1</v>
      </c>
      <c r="E30" s="23">
        <f t="shared" si="5"/>
        <v>30</v>
      </c>
      <c r="F30" s="23">
        <f t="shared" si="2"/>
        <v>900</v>
      </c>
      <c r="G30" s="40">
        <f t="shared" si="0"/>
        <v>37437.112355675708</v>
      </c>
      <c r="H30" s="40">
        <f t="shared" si="1"/>
        <v>-1439.8123556757055</v>
      </c>
      <c r="I30" s="40">
        <f t="shared" si="3"/>
        <v>2073059.6195564242</v>
      </c>
      <c r="J30">
        <f t="shared" si="4"/>
        <v>-3116.5</v>
      </c>
      <c r="K30" s="24">
        <f t="shared" ref="K30" si="18">J30-$P$3</f>
        <v>952.23041666666677</v>
      </c>
    </row>
    <row r="31" spans="1:11" x14ac:dyDescent="0.3">
      <c r="A31">
        <v>2017.2</v>
      </c>
      <c r="B31" s="6">
        <v>38526.1</v>
      </c>
      <c r="C31"/>
      <c r="D31" s="23">
        <v>1</v>
      </c>
      <c r="E31" s="23">
        <f t="shared" si="5"/>
        <v>31</v>
      </c>
      <c r="F31" s="23">
        <f t="shared" si="2"/>
        <v>961</v>
      </c>
      <c r="G31" s="40">
        <f t="shared" si="0"/>
        <v>37464.061056602412</v>
      </c>
      <c r="H31" s="40">
        <f t="shared" si="1"/>
        <v>1062.038943397587</v>
      </c>
      <c r="I31" s="40">
        <f t="shared" si="3"/>
        <v>1127926.7172930629</v>
      </c>
      <c r="J31">
        <f t="shared" si="4"/>
        <v>2528.7999999999956</v>
      </c>
      <c r="K31" s="24">
        <f t="shared" si="11"/>
        <v>-400.82458333333761</v>
      </c>
    </row>
    <row r="32" spans="1:11" x14ac:dyDescent="0.3">
      <c r="A32">
        <v>2017.3</v>
      </c>
      <c r="B32" s="6">
        <v>41277.4</v>
      </c>
      <c r="C32"/>
      <c r="D32" s="23">
        <v>1</v>
      </c>
      <c r="E32" s="23">
        <f t="shared" si="5"/>
        <v>32</v>
      </c>
      <c r="F32" s="23">
        <f t="shared" si="2"/>
        <v>1024</v>
      </c>
      <c r="G32" s="40">
        <f t="shared" si="0"/>
        <v>37521.063569287828</v>
      </c>
      <c r="H32" s="40">
        <f t="shared" si="1"/>
        <v>3756.3364307121738</v>
      </c>
      <c r="I32" s="40">
        <f t="shared" si="3"/>
        <v>14110063.380695473</v>
      </c>
      <c r="J32">
        <f t="shared" si="4"/>
        <v>2751.3000000000029</v>
      </c>
      <c r="K32" s="24">
        <f t="shared" si="12"/>
        <v>262.47041666666883</v>
      </c>
    </row>
    <row r="33" spans="1:11" x14ac:dyDescent="0.3">
      <c r="A33">
        <v>2017.4</v>
      </c>
      <c r="B33" s="6">
        <v>38981.5</v>
      </c>
      <c r="C33"/>
      <c r="D33" s="23">
        <v>1</v>
      </c>
      <c r="E33" s="23">
        <f t="shared" si="5"/>
        <v>33</v>
      </c>
      <c r="F33" s="23">
        <f t="shared" si="2"/>
        <v>1089</v>
      </c>
      <c r="G33" s="40">
        <f t="shared" si="0"/>
        <v>37608.119893731942</v>
      </c>
      <c r="H33" s="40">
        <f t="shared" si="1"/>
        <v>1373.3801062680577</v>
      </c>
      <c r="I33" s="40">
        <f t="shared" si="3"/>
        <v>1886172.9162928616</v>
      </c>
      <c r="J33">
        <f t="shared" si="4"/>
        <v>-2295.9000000000015</v>
      </c>
      <c r="K33" s="24">
        <f t="shared" si="13"/>
        <v>-946.17625000000044</v>
      </c>
    </row>
    <row r="34" spans="1:11" x14ac:dyDescent="0.3">
      <c r="A34">
        <v>2018.1</v>
      </c>
      <c r="B34" s="6">
        <v>36049</v>
      </c>
      <c r="C34"/>
      <c r="D34" s="23">
        <v>1</v>
      </c>
      <c r="E34" s="23">
        <f t="shared" si="5"/>
        <v>34</v>
      </c>
      <c r="F34" s="23">
        <f t="shared" si="2"/>
        <v>1156</v>
      </c>
      <c r="G34" s="40">
        <f t="shared" si="0"/>
        <v>37725.23002993477</v>
      </c>
      <c r="H34" s="40">
        <f t="shared" si="1"/>
        <v>-1676.2300299347698</v>
      </c>
      <c r="I34" s="40">
        <f t="shared" si="3"/>
        <v>2809747.1132551194</v>
      </c>
      <c r="J34">
        <f t="shared" si="4"/>
        <v>-2932.5</v>
      </c>
      <c r="K34" s="24">
        <f t="shared" ref="K34" si="19">J34-$P$3</f>
        <v>1136.2304166666668</v>
      </c>
    </row>
    <row r="35" spans="1:11" x14ac:dyDescent="0.3">
      <c r="A35">
        <v>2018.2</v>
      </c>
      <c r="B35" s="6">
        <v>39184.9</v>
      </c>
      <c r="C35"/>
      <c r="D35" s="23">
        <v>1</v>
      </c>
      <c r="E35" s="23">
        <f t="shared" si="5"/>
        <v>35</v>
      </c>
      <c r="F35" s="23">
        <f t="shared" si="2"/>
        <v>1225</v>
      </c>
      <c r="G35" s="40">
        <f t="shared" si="0"/>
        <v>37872.393977896303</v>
      </c>
      <c r="H35" s="40">
        <f t="shared" si="1"/>
        <v>1312.5060221036983</v>
      </c>
      <c r="I35" s="40">
        <f t="shared" si="3"/>
        <v>1722672.058058474</v>
      </c>
      <c r="J35">
        <f t="shared" ref="J35:J63" si="20">B35-B34</f>
        <v>3135.9000000000015</v>
      </c>
      <c r="K35" s="24">
        <f t="shared" si="11"/>
        <v>206.27541666666821</v>
      </c>
    </row>
    <row r="36" spans="1:11" x14ac:dyDescent="0.3">
      <c r="A36">
        <v>2018.3</v>
      </c>
      <c r="B36" s="6">
        <v>41724.6</v>
      </c>
      <c r="C36"/>
      <c r="D36" s="23">
        <v>1</v>
      </c>
      <c r="E36" s="23">
        <f t="shared" si="5"/>
        <v>36</v>
      </c>
      <c r="F36" s="23">
        <f t="shared" si="2"/>
        <v>1296</v>
      </c>
      <c r="G36" s="40">
        <f t="shared" ref="G36:G63" si="21">$D$85+$D$86*E36+$D$87*F36</f>
        <v>38049.611737616535</v>
      </c>
      <c r="H36" s="40">
        <f t="shared" si="1"/>
        <v>3674.9882623834637</v>
      </c>
      <c r="I36" s="40">
        <f t="shared" si="3"/>
        <v>13505538.72865623</v>
      </c>
      <c r="J36">
        <f t="shared" si="20"/>
        <v>2539.6999999999971</v>
      </c>
      <c r="K36" s="24">
        <f t="shared" si="12"/>
        <v>50.870416666663004</v>
      </c>
    </row>
    <row r="37" spans="1:11" x14ac:dyDescent="0.3">
      <c r="A37">
        <v>2018.4</v>
      </c>
      <c r="B37" s="6">
        <v>39676.400000000001</v>
      </c>
      <c r="C37"/>
      <c r="D37" s="23">
        <v>1</v>
      </c>
      <c r="E37" s="23">
        <f t="shared" si="5"/>
        <v>37</v>
      </c>
      <c r="F37" s="23">
        <f t="shared" si="2"/>
        <v>1369</v>
      </c>
      <c r="G37" s="40">
        <f t="shared" si="21"/>
        <v>38256.883309095487</v>
      </c>
      <c r="H37" s="40">
        <f t="shared" si="1"/>
        <v>1419.5166909045147</v>
      </c>
      <c r="I37" s="40">
        <f t="shared" si="3"/>
        <v>2015027.6357565036</v>
      </c>
      <c r="J37">
        <f t="shared" si="20"/>
        <v>-2048.1999999999971</v>
      </c>
      <c r="K37" s="24">
        <f t="shared" si="13"/>
        <v>-698.47624999999607</v>
      </c>
    </row>
    <row r="38" spans="1:11" x14ac:dyDescent="0.3">
      <c r="A38">
        <v>2019.1</v>
      </c>
      <c r="B38" s="6">
        <v>36562.699999999997</v>
      </c>
      <c r="C38"/>
      <c r="D38" s="23">
        <v>1</v>
      </c>
      <c r="E38" s="23">
        <f t="shared" si="5"/>
        <v>38</v>
      </c>
      <c r="F38" s="23">
        <f t="shared" si="2"/>
        <v>1444</v>
      </c>
      <c r="G38" s="40">
        <f t="shared" si="21"/>
        <v>38494.20869233313</v>
      </c>
      <c r="H38" s="40">
        <f t="shared" si="1"/>
        <v>-1931.5086923331328</v>
      </c>
      <c r="I38" s="40">
        <f t="shared" si="3"/>
        <v>3730725.8285584487</v>
      </c>
      <c r="J38">
        <f t="shared" si="20"/>
        <v>-3113.7000000000044</v>
      </c>
      <c r="K38" s="24">
        <f t="shared" ref="K38" si="22">J38-$P$3</f>
        <v>955.0304166666624</v>
      </c>
    </row>
    <row r="39" spans="1:11" x14ac:dyDescent="0.3">
      <c r="A39">
        <v>2019.2</v>
      </c>
      <c r="B39" s="6">
        <v>40409.9</v>
      </c>
      <c r="C39"/>
      <c r="D39" s="23">
        <v>1</v>
      </c>
      <c r="E39" s="23">
        <f t="shared" si="5"/>
        <v>39</v>
      </c>
      <c r="F39" s="23">
        <f t="shared" si="2"/>
        <v>1521</v>
      </c>
      <c r="G39" s="40">
        <f t="shared" si="21"/>
        <v>38761.587887329486</v>
      </c>
      <c r="H39" s="40">
        <f t="shared" si="1"/>
        <v>1648.3121126705155</v>
      </c>
      <c r="I39" s="40">
        <f t="shared" si="3"/>
        <v>2716932.8207763382</v>
      </c>
      <c r="J39">
        <f t="shared" si="20"/>
        <v>3847.2000000000044</v>
      </c>
      <c r="K39" s="24">
        <f t="shared" si="11"/>
        <v>917.57541666667112</v>
      </c>
    </row>
    <row r="40" spans="1:11" x14ac:dyDescent="0.3">
      <c r="A40">
        <v>2019.3</v>
      </c>
      <c r="B40" s="6">
        <v>43406.8</v>
      </c>
      <c r="C40"/>
      <c r="D40" s="23">
        <v>1</v>
      </c>
      <c r="E40" s="23">
        <f t="shared" si="5"/>
        <v>40</v>
      </c>
      <c r="F40" s="23">
        <f t="shared" si="2"/>
        <v>1600</v>
      </c>
      <c r="G40" s="40">
        <f t="shared" si="21"/>
        <v>39059.020894084548</v>
      </c>
      <c r="H40" s="40">
        <f t="shared" si="1"/>
        <v>4347.7791059154551</v>
      </c>
      <c r="I40" s="40">
        <f t="shared" si="3"/>
        <v>18903183.153834995</v>
      </c>
      <c r="J40">
        <f t="shared" si="20"/>
        <v>2996.9000000000015</v>
      </c>
      <c r="K40" s="24">
        <f t="shared" si="12"/>
        <v>508.07041666666737</v>
      </c>
    </row>
    <row r="41" spans="1:11" x14ac:dyDescent="0.3">
      <c r="A41">
        <v>2019.4</v>
      </c>
      <c r="B41" s="6">
        <v>40353.199999999997</v>
      </c>
      <c r="C41"/>
      <c r="D41" s="23">
        <v>1</v>
      </c>
      <c r="E41" s="23">
        <f t="shared" si="5"/>
        <v>41</v>
      </c>
      <c r="F41" s="23">
        <f t="shared" si="2"/>
        <v>1681</v>
      </c>
      <c r="G41" s="40">
        <f t="shared" si="21"/>
        <v>39386.507712598315</v>
      </c>
      <c r="H41" s="40">
        <f t="shared" si="1"/>
        <v>966.69228740168182</v>
      </c>
      <c r="I41" s="40">
        <f t="shared" si="3"/>
        <v>934493.97852189583</v>
      </c>
      <c r="J41">
        <f t="shared" si="20"/>
        <v>-3053.6000000000058</v>
      </c>
      <c r="K41" s="24">
        <f t="shared" si="13"/>
        <v>-1703.8762500000048</v>
      </c>
    </row>
    <row r="42" spans="1:11" x14ac:dyDescent="0.3">
      <c r="A42">
        <v>2020.1</v>
      </c>
      <c r="B42" s="6">
        <v>36283.300000000003</v>
      </c>
      <c r="C42"/>
      <c r="D42" s="23">
        <v>1</v>
      </c>
      <c r="E42" s="23">
        <f t="shared" si="5"/>
        <v>42</v>
      </c>
      <c r="F42" s="23">
        <f t="shared" si="2"/>
        <v>1764</v>
      </c>
      <c r="G42" s="40">
        <f t="shared" si="21"/>
        <v>39744.048342870788</v>
      </c>
      <c r="H42" s="40">
        <f t="shared" si="1"/>
        <v>-3460.7483428707856</v>
      </c>
      <c r="I42" s="40">
        <f t="shared" si="3"/>
        <v>11976779.092682889</v>
      </c>
      <c r="J42">
        <f t="shared" si="20"/>
        <v>-4069.8999999999942</v>
      </c>
      <c r="K42" s="24">
        <f t="shared" ref="K42" si="23">J42-$P$3</f>
        <v>-1.1695833333274095</v>
      </c>
    </row>
    <row r="43" spans="1:11" x14ac:dyDescent="0.3">
      <c r="A43">
        <v>2020.2</v>
      </c>
      <c r="B43" s="6">
        <v>34354.5</v>
      </c>
      <c r="C43"/>
      <c r="D43" s="23">
        <v>1</v>
      </c>
      <c r="E43" s="23">
        <f t="shared" si="5"/>
        <v>43</v>
      </c>
      <c r="F43" s="23">
        <f t="shared" si="2"/>
        <v>1849</v>
      </c>
      <c r="G43" s="40">
        <f t="shared" si="21"/>
        <v>40131.642784901967</v>
      </c>
      <c r="H43" s="40">
        <f t="shared" si="1"/>
        <v>-5777.1427849019674</v>
      </c>
      <c r="I43" s="40">
        <f t="shared" si="3"/>
        <v>33375378.757144861</v>
      </c>
      <c r="J43">
        <f t="shared" si="20"/>
        <v>-1928.8000000000029</v>
      </c>
      <c r="K43" s="24">
        <f t="shared" si="11"/>
        <v>-4858.4245833333362</v>
      </c>
    </row>
    <row r="44" spans="1:11" x14ac:dyDescent="0.3">
      <c r="A44">
        <v>2020.3</v>
      </c>
      <c r="B44" s="6">
        <v>39026.300000000003</v>
      </c>
      <c r="C44"/>
      <c r="D44" s="23">
        <v>1</v>
      </c>
      <c r="E44" s="23">
        <f t="shared" si="5"/>
        <v>44</v>
      </c>
      <c r="F44" s="23">
        <f t="shared" si="2"/>
        <v>1936</v>
      </c>
      <c r="G44" s="40">
        <f t="shared" si="21"/>
        <v>40549.291038691852</v>
      </c>
      <c r="H44" s="40">
        <f t="shared" si="1"/>
        <v>-1522.9910386918491</v>
      </c>
      <c r="I44" s="40">
        <f t="shared" si="3"/>
        <v>2319501.7039356772</v>
      </c>
      <c r="J44">
        <f t="shared" si="20"/>
        <v>4671.8000000000029</v>
      </c>
      <c r="K44" s="24">
        <f t="shared" si="12"/>
        <v>2182.9704166666688</v>
      </c>
    </row>
    <row r="45" spans="1:11" x14ac:dyDescent="0.3">
      <c r="A45">
        <v>2020.4</v>
      </c>
      <c r="B45" s="6">
        <v>37572.199999999997</v>
      </c>
      <c r="C45"/>
      <c r="D45" s="23">
        <v>1</v>
      </c>
      <c r="E45" s="23">
        <f t="shared" si="5"/>
        <v>45</v>
      </c>
      <c r="F45" s="23">
        <f t="shared" si="2"/>
        <v>2025</v>
      </c>
      <c r="G45" s="40">
        <f t="shared" si="21"/>
        <v>40996.99310424045</v>
      </c>
      <c r="H45" s="40">
        <f t="shared" si="1"/>
        <v>-3424.7931042404525</v>
      </c>
      <c r="I45" s="40">
        <f t="shared" si="3"/>
        <v>11729207.806852955</v>
      </c>
      <c r="J45">
        <f t="shared" si="20"/>
        <v>-1454.1000000000058</v>
      </c>
      <c r="K45" s="24">
        <f t="shared" si="13"/>
        <v>-104.3762500000048</v>
      </c>
    </row>
    <row r="46" spans="1:11" x14ac:dyDescent="0.3">
      <c r="A46">
        <v>2021.1</v>
      </c>
      <c r="B46" s="6">
        <v>35500.300000000003</v>
      </c>
      <c r="C46"/>
      <c r="D46" s="23">
        <v>1</v>
      </c>
      <c r="E46" s="23">
        <f t="shared" si="5"/>
        <v>46</v>
      </c>
      <c r="F46" s="23">
        <f t="shared" si="2"/>
        <v>2116</v>
      </c>
      <c r="G46" s="40">
        <f t="shared" si="21"/>
        <v>41474.748981547746</v>
      </c>
      <c r="H46" s="40">
        <f t="shared" si="1"/>
        <v>-5974.4489815477427</v>
      </c>
      <c r="I46" s="40">
        <f t="shared" si="3"/>
        <v>35694040.633116864</v>
      </c>
      <c r="J46">
        <f t="shared" si="20"/>
        <v>-2071.8999999999942</v>
      </c>
      <c r="K46" s="24">
        <f t="shared" ref="K46" si="24">J46-$P$3</f>
        <v>1996.8304166666726</v>
      </c>
    </row>
    <row r="47" spans="1:11" x14ac:dyDescent="0.3">
      <c r="A47">
        <v>2021.2</v>
      </c>
      <c r="B47" s="6">
        <v>39015.699999999997</v>
      </c>
      <c r="C47"/>
      <c r="D47" s="23">
        <v>1</v>
      </c>
      <c r="E47" s="23">
        <f t="shared" si="5"/>
        <v>47</v>
      </c>
      <c r="F47" s="23">
        <f t="shared" si="2"/>
        <v>2209</v>
      </c>
      <c r="G47" s="40">
        <f t="shared" si="21"/>
        <v>41982.558670613755</v>
      </c>
      <c r="H47" s="40">
        <f t="shared" si="1"/>
        <v>-2966.8586706137576</v>
      </c>
      <c r="I47" s="40">
        <f t="shared" si="3"/>
        <v>8802250.3713960331</v>
      </c>
      <c r="J47">
        <f t="shared" si="20"/>
        <v>3515.3999999999942</v>
      </c>
      <c r="K47" s="24">
        <f t="shared" si="11"/>
        <v>585.77541666666093</v>
      </c>
    </row>
    <row r="48" spans="1:11" x14ac:dyDescent="0.3">
      <c r="A48">
        <v>2021.3</v>
      </c>
      <c r="B48" s="6">
        <v>44025.3</v>
      </c>
      <c r="C48"/>
      <c r="D48" s="23">
        <v>1</v>
      </c>
      <c r="E48" s="23">
        <f t="shared" si="5"/>
        <v>48</v>
      </c>
      <c r="F48" s="23">
        <f t="shared" si="2"/>
        <v>2304</v>
      </c>
      <c r="G48" s="40">
        <f t="shared" si="21"/>
        <v>42520.422171438462</v>
      </c>
      <c r="H48" s="40">
        <f t="shared" si="1"/>
        <v>1504.8778285615408</v>
      </c>
      <c r="I48" s="40">
        <f t="shared" si="3"/>
        <v>2264657.278896098</v>
      </c>
      <c r="J48">
        <f t="shared" si="20"/>
        <v>5009.6000000000058</v>
      </c>
      <c r="K48" s="24">
        <f t="shared" si="12"/>
        <v>2520.7704166666717</v>
      </c>
    </row>
    <row r="49" spans="1:11" x14ac:dyDescent="0.3">
      <c r="A49">
        <v>2021.4</v>
      </c>
      <c r="B49" s="6">
        <v>42474.1</v>
      </c>
      <c r="C49"/>
      <c r="D49" s="23">
        <v>1</v>
      </c>
      <c r="E49" s="23">
        <f t="shared" si="5"/>
        <v>49</v>
      </c>
      <c r="F49" s="23">
        <f t="shared" si="2"/>
        <v>2401</v>
      </c>
      <c r="G49" s="40">
        <f t="shared" si="21"/>
        <v>43088.339484021883</v>
      </c>
      <c r="H49" s="40">
        <f t="shared" si="1"/>
        <v>-614.23948402188398</v>
      </c>
      <c r="I49" s="40">
        <f t="shared" si="3"/>
        <v>377290.14373147028</v>
      </c>
      <c r="J49">
        <f t="shared" si="20"/>
        <v>-1551.2000000000044</v>
      </c>
      <c r="K49" s="24">
        <f t="shared" si="13"/>
        <v>-201.47625000000335</v>
      </c>
    </row>
    <row r="50" spans="1:11" x14ac:dyDescent="0.3">
      <c r="A50">
        <v>2022.1</v>
      </c>
      <c r="B50" s="6">
        <v>40446.6</v>
      </c>
      <c r="C50"/>
      <c r="D50" s="23">
        <v>1</v>
      </c>
      <c r="E50" s="23">
        <f t="shared" si="5"/>
        <v>50</v>
      </c>
      <c r="F50" s="23">
        <f t="shared" si="2"/>
        <v>2500</v>
      </c>
      <c r="G50" s="40">
        <f t="shared" si="21"/>
        <v>43686.310608364001</v>
      </c>
      <c r="H50" s="40">
        <f t="shared" si="1"/>
        <v>-3239.7106083640028</v>
      </c>
      <c r="I50" s="40">
        <f t="shared" si="3"/>
        <v>10495724.825946257</v>
      </c>
      <c r="J50">
        <f t="shared" si="20"/>
        <v>-2027.5</v>
      </c>
      <c r="K50" s="24">
        <f t="shared" ref="K50" si="25">J50-$P$3</f>
        <v>2041.2304166666668</v>
      </c>
    </row>
    <row r="51" spans="1:11" x14ac:dyDescent="0.3">
      <c r="A51">
        <v>2022.2</v>
      </c>
      <c r="B51" s="6">
        <v>44851.1</v>
      </c>
      <c r="C51"/>
      <c r="D51" s="23">
        <v>1</v>
      </c>
      <c r="E51" s="23">
        <f t="shared" si="5"/>
        <v>51</v>
      </c>
      <c r="F51" s="23">
        <f t="shared" si="2"/>
        <v>2601</v>
      </c>
      <c r="G51" s="40">
        <f t="shared" si="21"/>
        <v>44314.335544464833</v>
      </c>
      <c r="H51" s="40">
        <f t="shared" si="1"/>
        <v>536.76445553516533</v>
      </c>
      <c r="I51" s="40">
        <f t="shared" si="3"/>
        <v>288116.08072596247</v>
      </c>
      <c r="J51">
        <f t="shared" si="20"/>
        <v>4404.5</v>
      </c>
      <c r="K51" s="24">
        <f t="shared" si="11"/>
        <v>1474.8754166666668</v>
      </c>
    </row>
    <row r="52" spans="1:11" x14ac:dyDescent="0.3">
      <c r="A52">
        <v>2022.3</v>
      </c>
      <c r="B52" s="6">
        <v>50374.1</v>
      </c>
      <c r="C52"/>
      <c r="D52" s="23">
        <v>1</v>
      </c>
      <c r="E52" s="23">
        <f t="shared" si="5"/>
        <v>52</v>
      </c>
      <c r="F52" s="23">
        <f t="shared" si="2"/>
        <v>2704</v>
      </c>
      <c r="G52" s="40">
        <f t="shared" si="21"/>
        <v>44972.414292324363</v>
      </c>
      <c r="H52" s="40">
        <f t="shared" si="1"/>
        <v>5401.6857076756351</v>
      </c>
      <c r="I52" s="40">
        <f t="shared" si="3"/>
        <v>29178208.484507225</v>
      </c>
      <c r="J52">
        <f t="shared" si="20"/>
        <v>5523</v>
      </c>
      <c r="K52" s="24">
        <f t="shared" si="12"/>
        <v>3034.1704166666659</v>
      </c>
    </row>
    <row r="53" spans="1:11" x14ac:dyDescent="0.3">
      <c r="A53">
        <v>2022.4</v>
      </c>
      <c r="B53" s="6">
        <v>47736.9</v>
      </c>
      <c r="C53"/>
      <c r="D53" s="23">
        <v>1</v>
      </c>
      <c r="E53" s="23">
        <f t="shared" si="5"/>
        <v>53</v>
      </c>
      <c r="F53" s="23">
        <f t="shared" si="2"/>
        <v>2809</v>
      </c>
      <c r="G53" s="40">
        <f t="shared" si="21"/>
        <v>45660.546851942607</v>
      </c>
      <c r="H53" s="40">
        <f t="shared" si="1"/>
        <v>2076.3531480573947</v>
      </c>
      <c r="I53" s="40">
        <f t="shared" si="3"/>
        <v>4311242.395447853</v>
      </c>
      <c r="J53">
        <f t="shared" si="20"/>
        <v>-2637.1999999999971</v>
      </c>
      <c r="K53" s="24">
        <f t="shared" si="13"/>
        <v>-1287.4762499999961</v>
      </c>
    </row>
    <row r="54" spans="1:11" x14ac:dyDescent="0.3">
      <c r="A54">
        <v>2023.1</v>
      </c>
      <c r="B54" s="6">
        <v>44156.9</v>
      </c>
      <c r="C54"/>
      <c r="D54" s="23">
        <v>1</v>
      </c>
      <c r="E54" s="23">
        <f t="shared" si="5"/>
        <v>54</v>
      </c>
      <c r="F54" s="23">
        <f t="shared" si="2"/>
        <v>2916</v>
      </c>
      <c r="G54" s="40">
        <f t="shared" si="21"/>
        <v>46378.733223319556</v>
      </c>
      <c r="H54" s="40">
        <f t="shared" si="1"/>
        <v>-2221.8332233195542</v>
      </c>
      <c r="I54" s="40">
        <f t="shared" si="3"/>
        <v>4936542.8722465597</v>
      </c>
      <c r="J54">
        <f t="shared" si="20"/>
        <v>-3580</v>
      </c>
      <c r="K54" s="24">
        <f t="shared" ref="K54" si="26">J54-$P$3</f>
        <v>488.73041666666677</v>
      </c>
    </row>
    <row r="55" spans="1:11" x14ac:dyDescent="0.3">
      <c r="A55">
        <v>2023.2</v>
      </c>
      <c r="B55" s="6">
        <v>48505.9</v>
      </c>
      <c r="C55"/>
      <c r="D55" s="23">
        <v>1</v>
      </c>
      <c r="E55" s="23">
        <f t="shared" si="5"/>
        <v>55</v>
      </c>
      <c r="F55" s="23">
        <f t="shared" si="2"/>
        <v>3025</v>
      </c>
      <c r="G55" s="40">
        <f t="shared" si="21"/>
        <v>47126.97340645521</v>
      </c>
      <c r="H55" s="40">
        <f t="shared" si="1"/>
        <v>1378.9265935447911</v>
      </c>
      <c r="I55" s="40">
        <f t="shared" si="3"/>
        <v>1901438.5503850416</v>
      </c>
      <c r="J55">
        <f t="shared" si="20"/>
        <v>4349</v>
      </c>
      <c r="K55" s="24">
        <f t="shared" si="11"/>
        <v>1419.3754166666668</v>
      </c>
    </row>
    <row r="56" spans="1:11" x14ac:dyDescent="0.3">
      <c r="A56">
        <v>2023.3</v>
      </c>
      <c r="B56" s="6">
        <v>53448.4</v>
      </c>
      <c r="C56"/>
      <c r="D56" s="23">
        <v>1</v>
      </c>
      <c r="E56" s="23">
        <f t="shared" si="5"/>
        <v>56</v>
      </c>
      <c r="F56" s="23">
        <f t="shared" si="2"/>
        <v>3136</v>
      </c>
      <c r="G56" s="40">
        <f t="shared" si="21"/>
        <v>47905.267401349571</v>
      </c>
      <c r="H56" s="40">
        <f t="shared" si="1"/>
        <v>5543.1325986504307</v>
      </c>
      <c r="I56" s="40">
        <f t="shared" si="3"/>
        <v>30726319.006221078</v>
      </c>
      <c r="J56">
        <f t="shared" si="20"/>
        <v>4942.5</v>
      </c>
      <c r="K56" s="24">
        <f t="shared" si="12"/>
        <v>2453.6704166666659</v>
      </c>
    </row>
    <row r="57" spans="1:11" x14ac:dyDescent="0.3">
      <c r="A57">
        <v>2023.4</v>
      </c>
      <c r="B57" s="6">
        <v>50416.9</v>
      </c>
      <c r="C57"/>
      <c r="D57" s="23">
        <v>1</v>
      </c>
      <c r="E57" s="23">
        <f t="shared" si="5"/>
        <v>57</v>
      </c>
      <c r="F57" s="23">
        <f t="shared" si="2"/>
        <v>3249</v>
      </c>
      <c r="G57" s="40">
        <f t="shared" si="21"/>
        <v>48713.615208002637</v>
      </c>
      <c r="H57" s="40">
        <f t="shared" si="1"/>
        <v>1703.2847919973647</v>
      </c>
      <c r="I57" s="40">
        <f t="shared" si="3"/>
        <v>2901179.0826495057</v>
      </c>
      <c r="J57">
        <f t="shared" si="20"/>
        <v>-3031.5</v>
      </c>
      <c r="K57" s="24">
        <f t="shared" si="13"/>
        <v>-1681.776249999999</v>
      </c>
    </row>
    <row r="58" spans="1:11" x14ac:dyDescent="0.3">
      <c r="A58">
        <v>2024.1</v>
      </c>
      <c r="B58" s="6">
        <v>45905.4</v>
      </c>
      <c r="C58"/>
      <c r="D58" s="23">
        <v>1</v>
      </c>
      <c r="E58" s="23">
        <f t="shared" si="5"/>
        <v>58</v>
      </c>
      <c r="F58" s="23">
        <f t="shared" si="2"/>
        <v>3364</v>
      </c>
      <c r="G58" s="40">
        <f t="shared" si="21"/>
        <v>49552.016826414409</v>
      </c>
      <c r="H58" s="40">
        <f t="shared" si="1"/>
        <v>-3646.6168264144071</v>
      </c>
      <c r="I58" s="40">
        <f t="shared" si="3"/>
        <v>13297814.278688682</v>
      </c>
      <c r="J58">
        <f t="shared" si="20"/>
        <v>-4511.5</v>
      </c>
      <c r="K58" s="24">
        <f t="shared" ref="K58" si="27">J58-$P$3</f>
        <v>-442.76958333333323</v>
      </c>
    </row>
    <row r="59" spans="1:11" x14ac:dyDescent="0.3">
      <c r="A59">
        <v>2024.2</v>
      </c>
      <c r="B59" s="6">
        <v>51005</v>
      </c>
      <c r="C59"/>
      <c r="D59" s="23">
        <v>1</v>
      </c>
      <c r="E59" s="23">
        <f t="shared" si="5"/>
        <v>59</v>
      </c>
      <c r="F59" s="23">
        <f t="shared" si="2"/>
        <v>3481</v>
      </c>
      <c r="G59" s="40">
        <f t="shared" si="21"/>
        <v>50420.472256584886</v>
      </c>
      <c r="H59" s="40">
        <f t="shared" si="1"/>
        <v>584.52774341511395</v>
      </c>
      <c r="I59" s="40">
        <f t="shared" si="3"/>
        <v>341672.68282196531</v>
      </c>
      <c r="J59">
        <f t="shared" si="20"/>
        <v>5099.5999999999985</v>
      </c>
      <c r="K59" s="24">
        <f t="shared" si="11"/>
        <v>2169.9754166666653</v>
      </c>
    </row>
    <row r="60" spans="1:11" x14ac:dyDescent="0.3">
      <c r="A60">
        <v>2024.3</v>
      </c>
      <c r="B60" s="6">
        <v>56074</v>
      </c>
      <c r="C60"/>
      <c r="D60" s="23">
        <v>1</v>
      </c>
      <c r="E60" s="23">
        <f t="shared" si="5"/>
        <v>60</v>
      </c>
      <c r="F60" s="23">
        <f t="shared" si="2"/>
        <v>3600</v>
      </c>
      <c r="G60" s="40">
        <f t="shared" si="21"/>
        <v>51318.981498514069</v>
      </c>
      <c r="H60" s="40">
        <f t="shared" si="1"/>
        <v>4755.0185014859308</v>
      </c>
      <c r="I60" s="40">
        <f t="shared" si="3"/>
        <v>22610200.949473508</v>
      </c>
      <c r="J60">
        <f t="shared" si="20"/>
        <v>5069</v>
      </c>
      <c r="K60" s="24">
        <f t="shared" si="12"/>
        <v>2580.1704166666659</v>
      </c>
    </row>
    <row r="61" spans="1:11" x14ac:dyDescent="0.3">
      <c r="A61">
        <v>2024.4</v>
      </c>
      <c r="B61" s="6">
        <v>52936</v>
      </c>
      <c r="C61"/>
      <c r="D61" s="23">
        <v>1</v>
      </c>
      <c r="E61" s="23">
        <f t="shared" si="5"/>
        <v>61</v>
      </c>
      <c r="F61" s="23">
        <f t="shared" si="2"/>
        <v>3721</v>
      </c>
      <c r="G61" s="40">
        <f t="shared" si="21"/>
        <v>52247.544552201965</v>
      </c>
      <c r="H61" s="40">
        <f t="shared" si="1"/>
        <v>688.45544779803458</v>
      </c>
      <c r="I61" s="40">
        <f t="shared" si="3"/>
        <v>473970.9036027923</v>
      </c>
      <c r="J61">
        <f t="shared" si="20"/>
        <v>-3138</v>
      </c>
      <c r="K61" s="24">
        <f t="shared" si="13"/>
        <v>-1788.276249999999</v>
      </c>
    </row>
    <row r="62" spans="1:11" x14ac:dyDescent="0.3">
      <c r="A62">
        <v>2025.1</v>
      </c>
      <c r="B62" s="6">
        <v>47907.8</v>
      </c>
      <c r="C62"/>
      <c r="D62" s="23">
        <v>1</v>
      </c>
      <c r="E62" s="23">
        <f t="shared" si="5"/>
        <v>62</v>
      </c>
      <c r="F62" s="23">
        <f t="shared" si="2"/>
        <v>3844</v>
      </c>
      <c r="G62" s="40">
        <f t="shared" si="21"/>
        <v>53206.16141764856</v>
      </c>
      <c r="H62" s="40">
        <f t="shared" si="1"/>
        <v>-5298.3614176485571</v>
      </c>
      <c r="I62" s="40">
        <f t="shared" si="3"/>
        <v>28072633.712026827</v>
      </c>
      <c r="J62">
        <f t="shared" si="20"/>
        <v>-5028.1999999999971</v>
      </c>
      <c r="K62" s="24">
        <f t="shared" ref="K62" si="28">J62-$P$3</f>
        <v>-959.46958333333032</v>
      </c>
    </row>
    <row r="63" spans="1:11" x14ac:dyDescent="0.3">
      <c r="A63">
        <v>2025.2</v>
      </c>
      <c r="B63" s="6">
        <v>53716</v>
      </c>
      <c r="C63"/>
      <c r="D63" s="23">
        <v>1</v>
      </c>
      <c r="E63" s="23">
        <f t="shared" si="5"/>
        <v>63</v>
      </c>
      <c r="F63" s="23">
        <f t="shared" si="2"/>
        <v>3969</v>
      </c>
      <c r="G63" s="40">
        <f t="shared" si="21"/>
        <v>54194.832094853868</v>
      </c>
      <c r="H63" s="40">
        <f t="shared" si="1"/>
        <v>-478.8320948538676</v>
      </c>
      <c r="I63" s="40">
        <f t="shared" si="3"/>
        <v>229280.17506214327</v>
      </c>
      <c r="J63">
        <f t="shared" si="20"/>
        <v>5808.1999999999971</v>
      </c>
      <c r="K63" s="24">
        <f t="shared" si="11"/>
        <v>2878.5754166666638</v>
      </c>
    </row>
    <row r="65" spans="1:66" x14ac:dyDescent="0.3">
      <c r="A65"/>
      <c r="B65" s="1">
        <f>AVERAGE(B2:B63)</f>
        <v>42373.20161290322</v>
      </c>
      <c r="C65"/>
      <c r="D65"/>
      <c r="E65"/>
      <c r="F65"/>
      <c r="G65"/>
      <c r="H65" s="24" t="s">
        <v>53</v>
      </c>
      <c r="I65" s="3">
        <f>SUM(I2:I63)</f>
        <v>429893461.45599991</v>
      </c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</row>
    <row r="66" spans="1:66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</row>
    <row r="67" spans="1:66" x14ac:dyDescent="0.3">
      <c r="A67"/>
      <c r="B67"/>
      <c r="C67"/>
      <c r="D67" s="4" cm="1">
        <f t="array" ref="D67:BM69">TRANSPOSE(D2:F63)</f>
        <v>1</v>
      </c>
      <c r="E67" s="4">
        <v>1</v>
      </c>
      <c r="F67" s="4">
        <v>1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1</v>
      </c>
      <c r="P67" s="4">
        <v>1</v>
      </c>
      <c r="Q67" s="4">
        <v>1</v>
      </c>
      <c r="R67" s="4">
        <v>1</v>
      </c>
      <c r="S67" s="4">
        <v>1</v>
      </c>
      <c r="T67" s="4">
        <v>1</v>
      </c>
      <c r="U67" s="4">
        <v>1</v>
      </c>
      <c r="V67" s="4">
        <v>1</v>
      </c>
      <c r="W67" s="4">
        <v>1</v>
      </c>
      <c r="X67" s="4">
        <v>1</v>
      </c>
      <c r="Y67" s="4">
        <v>1</v>
      </c>
      <c r="Z67" s="4">
        <v>1</v>
      </c>
      <c r="AA67" s="4">
        <v>1</v>
      </c>
      <c r="AB67" s="4">
        <v>1</v>
      </c>
      <c r="AC67" s="4">
        <v>1</v>
      </c>
      <c r="AD67" s="4">
        <v>1</v>
      </c>
      <c r="AE67" s="4">
        <v>1</v>
      </c>
      <c r="AF67" s="4">
        <v>1</v>
      </c>
      <c r="AG67" s="4">
        <v>1</v>
      </c>
      <c r="AH67" s="4">
        <v>1</v>
      </c>
      <c r="AI67" s="4">
        <v>1</v>
      </c>
      <c r="AJ67" s="4">
        <v>1</v>
      </c>
      <c r="AK67" s="4">
        <v>1</v>
      </c>
      <c r="AL67" s="4">
        <v>1</v>
      </c>
      <c r="AM67" s="4">
        <v>1</v>
      </c>
      <c r="AN67" s="4">
        <v>1</v>
      </c>
      <c r="AO67" s="4">
        <v>1</v>
      </c>
      <c r="AP67" s="4">
        <v>1</v>
      </c>
      <c r="AQ67" s="4">
        <v>1</v>
      </c>
      <c r="AR67" s="4">
        <v>1</v>
      </c>
      <c r="AS67" s="4">
        <v>1</v>
      </c>
      <c r="AT67" s="4">
        <v>1</v>
      </c>
      <c r="AU67" s="4">
        <v>1</v>
      </c>
      <c r="AV67" s="4">
        <v>1</v>
      </c>
      <c r="AW67" s="4">
        <v>1</v>
      </c>
      <c r="AX67" s="4">
        <v>1</v>
      </c>
      <c r="AY67" s="4">
        <v>1</v>
      </c>
      <c r="AZ67" s="4">
        <v>1</v>
      </c>
      <c r="BA67" s="4">
        <v>1</v>
      </c>
      <c r="BB67" s="4">
        <v>1</v>
      </c>
      <c r="BC67" s="4">
        <v>1</v>
      </c>
      <c r="BD67" s="4">
        <v>1</v>
      </c>
      <c r="BE67" s="4">
        <v>1</v>
      </c>
      <c r="BF67" s="4">
        <v>1</v>
      </c>
      <c r="BG67" s="4">
        <v>1</v>
      </c>
      <c r="BH67" s="4">
        <v>1</v>
      </c>
      <c r="BI67" s="4">
        <v>1</v>
      </c>
      <c r="BJ67" s="4">
        <v>1</v>
      </c>
      <c r="BK67" s="4">
        <v>1</v>
      </c>
      <c r="BL67" s="4">
        <v>1</v>
      </c>
      <c r="BM67" s="4">
        <v>1</v>
      </c>
      <c r="BN67"/>
    </row>
    <row r="68" spans="1:66" x14ac:dyDescent="0.3">
      <c r="A68"/>
      <c r="B68"/>
      <c r="C68"/>
      <c r="D68" s="4">
        <v>2</v>
      </c>
      <c r="E68" s="4">
        <v>3</v>
      </c>
      <c r="F68" s="4">
        <v>4</v>
      </c>
      <c r="G68" s="4">
        <v>5</v>
      </c>
      <c r="H68" s="4">
        <v>6</v>
      </c>
      <c r="I68" s="4">
        <v>7</v>
      </c>
      <c r="J68" s="4">
        <v>8</v>
      </c>
      <c r="K68" s="4">
        <v>9</v>
      </c>
      <c r="L68" s="4">
        <v>10</v>
      </c>
      <c r="M68" s="4">
        <v>11</v>
      </c>
      <c r="N68" s="4">
        <v>12</v>
      </c>
      <c r="O68" s="4">
        <v>13</v>
      </c>
      <c r="P68" s="4">
        <v>14</v>
      </c>
      <c r="Q68" s="4">
        <v>15</v>
      </c>
      <c r="R68" s="4">
        <v>16</v>
      </c>
      <c r="S68" s="4">
        <v>17</v>
      </c>
      <c r="T68" s="4">
        <v>18</v>
      </c>
      <c r="U68" s="4">
        <v>19</v>
      </c>
      <c r="V68" s="4">
        <v>20</v>
      </c>
      <c r="W68" s="4">
        <v>21</v>
      </c>
      <c r="X68" s="4">
        <v>22</v>
      </c>
      <c r="Y68" s="4">
        <v>23</v>
      </c>
      <c r="Z68" s="4">
        <v>24</v>
      </c>
      <c r="AA68" s="4">
        <v>25</v>
      </c>
      <c r="AB68" s="4">
        <v>26</v>
      </c>
      <c r="AC68" s="4">
        <v>27</v>
      </c>
      <c r="AD68" s="4">
        <v>28</v>
      </c>
      <c r="AE68" s="4">
        <v>29</v>
      </c>
      <c r="AF68" s="4">
        <v>30</v>
      </c>
      <c r="AG68" s="4">
        <v>31</v>
      </c>
      <c r="AH68" s="4">
        <v>32</v>
      </c>
      <c r="AI68" s="4">
        <v>33</v>
      </c>
      <c r="AJ68" s="4">
        <v>34</v>
      </c>
      <c r="AK68" s="4">
        <v>35</v>
      </c>
      <c r="AL68" s="4">
        <v>36</v>
      </c>
      <c r="AM68" s="4">
        <v>37</v>
      </c>
      <c r="AN68" s="4">
        <v>38</v>
      </c>
      <c r="AO68" s="4">
        <v>39</v>
      </c>
      <c r="AP68" s="4">
        <v>40</v>
      </c>
      <c r="AQ68" s="4">
        <v>41</v>
      </c>
      <c r="AR68" s="4">
        <v>42</v>
      </c>
      <c r="AS68" s="4">
        <v>43</v>
      </c>
      <c r="AT68" s="4">
        <v>44</v>
      </c>
      <c r="AU68" s="4">
        <v>45</v>
      </c>
      <c r="AV68" s="4">
        <v>46</v>
      </c>
      <c r="AW68" s="4">
        <v>47</v>
      </c>
      <c r="AX68" s="4">
        <v>48</v>
      </c>
      <c r="AY68" s="4">
        <v>49</v>
      </c>
      <c r="AZ68" s="4">
        <v>50</v>
      </c>
      <c r="BA68" s="4">
        <v>51</v>
      </c>
      <c r="BB68" s="4">
        <v>52</v>
      </c>
      <c r="BC68" s="4">
        <v>53</v>
      </c>
      <c r="BD68" s="4">
        <v>54</v>
      </c>
      <c r="BE68" s="4">
        <v>55</v>
      </c>
      <c r="BF68" s="4">
        <v>56</v>
      </c>
      <c r="BG68" s="4">
        <v>57</v>
      </c>
      <c r="BH68" s="4">
        <v>58</v>
      </c>
      <c r="BI68" s="4">
        <v>59</v>
      </c>
      <c r="BJ68" s="4">
        <v>60</v>
      </c>
      <c r="BK68" s="4">
        <v>61</v>
      </c>
      <c r="BL68" s="4">
        <v>62</v>
      </c>
      <c r="BM68" s="4">
        <v>63</v>
      </c>
      <c r="BN68"/>
    </row>
    <row r="69" spans="1:66" x14ac:dyDescent="0.3">
      <c r="A69"/>
      <c r="B69"/>
      <c r="C69"/>
      <c r="D69" s="4">
        <v>4</v>
      </c>
      <c r="E69" s="4">
        <v>9</v>
      </c>
      <c r="F69" s="4">
        <v>16</v>
      </c>
      <c r="G69" s="4">
        <v>25</v>
      </c>
      <c r="H69" s="4">
        <v>36</v>
      </c>
      <c r="I69" s="4">
        <v>49</v>
      </c>
      <c r="J69" s="4">
        <v>64</v>
      </c>
      <c r="K69" s="4">
        <v>81</v>
      </c>
      <c r="L69" s="4">
        <v>100</v>
      </c>
      <c r="M69" s="4">
        <v>121</v>
      </c>
      <c r="N69" s="4">
        <v>144</v>
      </c>
      <c r="O69" s="4">
        <v>169</v>
      </c>
      <c r="P69" s="4">
        <v>196</v>
      </c>
      <c r="Q69" s="4">
        <v>225</v>
      </c>
      <c r="R69" s="4">
        <v>256</v>
      </c>
      <c r="S69" s="4">
        <v>289</v>
      </c>
      <c r="T69" s="4">
        <v>324</v>
      </c>
      <c r="U69" s="4">
        <v>361</v>
      </c>
      <c r="V69" s="4">
        <v>400</v>
      </c>
      <c r="W69" s="4">
        <v>441</v>
      </c>
      <c r="X69" s="4">
        <v>484</v>
      </c>
      <c r="Y69" s="4">
        <v>529</v>
      </c>
      <c r="Z69" s="4">
        <v>576</v>
      </c>
      <c r="AA69" s="4">
        <v>625</v>
      </c>
      <c r="AB69" s="4">
        <v>676</v>
      </c>
      <c r="AC69" s="4">
        <v>729</v>
      </c>
      <c r="AD69" s="4">
        <v>784</v>
      </c>
      <c r="AE69" s="4">
        <v>841</v>
      </c>
      <c r="AF69" s="4">
        <v>900</v>
      </c>
      <c r="AG69" s="4">
        <v>961</v>
      </c>
      <c r="AH69" s="4">
        <v>1024</v>
      </c>
      <c r="AI69" s="4">
        <v>1089</v>
      </c>
      <c r="AJ69" s="4">
        <v>1156</v>
      </c>
      <c r="AK69" s="4">
        <v>1225</v>
      </c>
      <c r="AL69" s="4">
        <v>1296</v>
      </c>
      <c r="AM69" s="4">
        <v>1369</v>
      </c>
      <c r="AN69" s="4">
        <v>1444</v>
      </c>
      <c r="AO69" s="4">
        <v>1521</v>
      </c>
      <c r="AP69" s="4">
        <v>1600</v>
      </c>
      <c r="AQ69" s="4">
        <v>1681</v>
      </c>
      <c r="AR69" s="4">
        <v>1764</v>
      </c>
      <c r="AS69" s="4">
        <v>1849</v>
      </c>
      <c r="AT69" s="4">
        <v>1936</v>
      </c>
      <c r="AU69" s="4">
        <v>2025</v>
      </c>
      <c r="AV69" s="4">
        <v>2116</v>
      </c>
      <c r="AW69" s="4">
        <v>2209</v>
      </c>
      <c r="AX69" s="4">
        <v>2304</v>
      </c>
      <c r="AY69" s="4">
        <v>2401</v>
      </c>
      <c r="AZ69" s="4">
        <v>2500</v>
      </c>
      <c r="BA69" s="4">
        <v>2601</v>
      </c>
      <c r="BB69" s="4">
        <v>2704</v>
      </c>
      <c r="BC69" s="4">
        <v>2809</v>
      </c>
      <c r="BD69" s="4">
        <v>2916</v>
      </c>
      <c r="BE69" s="4">
        <v>3025</v>
      </c>
      <c r="BF69" s="4">
        <v>3136</v>
      </c>
      <c r="BG69" s="4">
        <v>3249</v>
      </c>
      <c r="BH69" s="4">
        <v>3364</v>
      </c>
      <c r="BI69" s="4">
        <v>3481</v>
      </c>
      <c r="BJ69" s="4">
        <v>3600</v>
      </c>
      <c r="BK69" s="4">
        <v>3721</v>
      </c>
      <c r="BL69" s="4">
        <v>3844</v>
      </c>
      <c r="BM69" s="4">
        <v>3969</v>
      </c>
      <c r="BN69"/>
    </row>
    <row r="70" spans="1:66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</row>
    <row r="71" spans="1:66" x14ac:dyDescent="0.3">
      <c r="A71"/>
      <c r="B71"/>
      <c r="C71"/>
      <c r="D71" cm="1">
        <f t="array" ref="D71:F73">MMULT(_xlfn.ANCHORARRAY(D67),D2:F63)</f>
        <v>62</v>
      </c>
      <c r="E71">
        <v>2015</v>
      </c>
      <c r="F71">
        <v>85343</v>
      </c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</row>
    <row r="72" spans="1:66" x14ac:dyDescent="0.3">
      <c r="A72"/>
      <c r="B72"/>
      <c r="C72"/>
      <c r="D72">
        <v>2015</v>
      </c>
      <c r="E72">
        <v>85343</v>
      </c>
      <c r="F72">
        <v>4064255</v>
      </c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</row>
    <row r="73" spans="1:66" x14ac:dyDescent="0.3">
      <c r="A73"/>
      <c r="B73"/>
      <c r="C73"/>
      <c r="D73">
        <v>85343</v>
      </c>
      <c r="E73">
        <v>4064255</v>
      </c>
      <c r="F73">
        <v>206447135</v>
      </c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</row>
    <row r="74" spans="1:66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</row>
    <row r="75" spans="1:66" x14ac:dyDescent="0.3">
      <c r="A75"/>
      <c r="B75"/>
      <c r="C75"/>
      <c r="D75" s="25" cm="1">
        <f t="array" ref="D75:F77">MINVERSE(_xlfn.ANCHORARRAY(D71))</f>
        <v>0.17589584749817416</v>
      </c>
      <c r="E75" s="25">
        <v>-1.1048575961320533E-2</v>
      </c>
      <c r="F75" s="25">
        <v>1.447961521996422E-4</v>
      </c>
      <c r="G75"/>
      <c r="H75"/>
      <c r="I75"/>
      <c r="J75"/>
      <c r="K75" s="26">
        <f t="shared" ref="K75:M77" si="29">$I$76*D75</f>
        <v>1281635.1650292673</v>
      </c>
      <c r="L75" s="27">
        <f t="shared" si="29"/>
        <v>-80503.568884265012</v>
      </c>
      <c r="M75" s="27">
        <f t="shared" si="29"/>
        <v>1055.0325266883726</v>
      </c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</row>
    <row r="76" spans="1:66" x14ac:dyDescent="0.3">
      <c r="A76"/>
      <c r="B76"/>
      <c r="C76"/>
      <c r="D76" s="25">
        <v>-1.1048575961320539E-2</v>
      </c>
      <c r="E76" s="25">
        <v>8.815646168567903E-4</v>
      </c>
      <c r="F76" s="25">
        <v>-1.2787703658935813E-5</v>
      </c>
      <c r="G76"/>
      <c r="H76" t="s">
        <v>54</v>
      </c>
      <c r="I76" s="41">
        <f>I65/(62-3)</f>
        <v>7286329.8551864391</v>
      </c>
      <c r="J76"/>
      <c r="K76" s="27">
        <f t="shared" si="29"/>
        <v>-80503.568884265056</v>
      </c>
      <c r="L76" s="26">
        <f t="shared" si="29"/>
        <v>6423.3705870796257</v>
      </c>
      <c r="M76" s="27">
        <f t="shared" si="29"/>
        <v>-93.175426949380878</v>
      </c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</row>
    <row r="77" spans="1:66" x14ac:dyDescent="0.3">
      <c r="A77"/>
      <c r="B77"/>
      <c r="C77"/>
      <c r="D77" s="25">
        <v>1.4479615219964244E-4</v>
      </c>
      <c r="E77" s="25">
        <v>-1.2787703658935816E-5</v>
      </c>
      <c r="F77" s="25">
        <v>1.9673390244516643E-7</v>
      </c>
      <c r="G77"/>
      <c r="H77"/>
      <c r="I77"/>
      <c r="J77"/>
      <c r="K77" s="27">
        <f t="shared" si="29"/>
        <v>1055.0325266883742</v>
      </c>
      <c r="L77" s="27">
        <f t="shared" si="29"/>
        <v>-93.175426949380906</v>
      </c>
      <c r="M77" s="26">
        <f t="shared" si="29"/>
        <v>1.4334681069135526</v>
      </c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</row>
    <row r="78" spans="1:66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</row>
    <row r="79" spans="1:66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</row>
    <row r="80" spans="1:66" x14ac:dyDescent="0.3">
      <c r="A80"/>
      <c r="B80"/>
      <c r="C80"/>
      <c r="D80" cm="1">
        <f t="array" ref="D80:D82">MMULT(_xlfn.ANCHORARRAY(D67),B2:B63)</f>
        <v>2627138.4999999995</v>
      </c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</row>
    <row r="81" spans="1:66" x14ac:dyDescent="0.3">
      <c r="A81"/>
      <c r="B81"/>
      <c r="C81"/>
      <c r="D81">
        <v>87110548.100000009</v>
      </c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</row>
    <row r="82" spans="1:66" x14ac:dyDescent="0.3">
      <c r="A82"/>
      <c r="B82"/>
      <c r="C82"/>
      <c r="D82">
        <v>3804993573.2999992</v>
      </c>
      <c r="E82"/>
      <c r="F82"/>
      <c r="G82"/>
      <c r="H82" s="28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</row>
    <row r="83" spans="1:66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</row>
    <row r="84" spans="1:66" x14ac:dyDescent="0.3">
      <c r="A84"/>
      <c r="B84"/>
      <c r="C84"/>
      <c r="D84"/>
      <c r="E84" t="s">
        <v>20</v>
      </c>
      <c r="F84" t="s">
        <v>21</v>
      </c>
      <c r="G84" t="s">
        <v>55</v>
      </c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</row>
    <row r="85" spans="1:66" x14ac:dyDescent="0.3">
      <c r="A85"/>
      <c r="B85"/>
      <c r="C85" t="s">
        <v>56</v>
      </c>
      <c r="D85" s="42" cm="1">
        <f t="array" ref="D85:D87">MMULT(_xlfn.ANCHORARRAY(D75),_xlfn.ANCHORARRAY(D80))</f>
        <v>50603.67379567289</v>
      </c>
      <c r="E85" s="27">
        <f>K75^0.5</f>
        <v>1132.0932669304536</v>
      </c>
      <c r="F85">
        <f>D85/E85</f>
        <v>44.69920922052578</v>
      </c>
      <c r="G85" s="30">
        <f>_xlfn.T.DIST.2T(F85,62-2-1)</f>
        <v>3.3142538259218845E-47</v>
      </c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</row>
    <row r="86" spans="1:66" x14ac:dyDescent="0.3">
      <c r="A86"/>
      <c r="B86"/>
      <c r="C86" t="s">
        <v>57</v>
      </c>
      <c r="D86" s="42">
        <v>-889.69255771383177</v>
      </c>
      <c r="E86" s="27">
        <f>L76^0.5</f>
        <v>80.14593306637353</v>
      </c>
      <c r="F86">
        <f>D86/E86</f>
        <v>-11.100907103758159</v>
      </c>
      <c r="G86" s="30">
        <f>_xlfn.T.DIST.2T(ABS(F86), 59)</f>
        <v>4.4475132920799335E-16</v>
      </c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</row>
    <row r="87" spans="1:66" x14ac:dyDescent="0.3">
      <c r="A87"/>
      <c r="B87"/>
      <c r="C87" t="s">
        <v>58</v>
      </c>
      <c r="D87" s="42">
        <v>15.02690587935308</v>
      </c>
      <c r="E87" s="27">
        <f>M77^0.5</f>
        <v>1.1972752845162855</v>
      </c>
      <c r="F87">
        <f t="shared" ref="F87" si="30">D87/E87</f>
        <v>12.550919637019103</v>
      </c>
      <c r="G87" s="30">
        <f>_xlfn.T.DIST.2T(F87,62-2-1)</f>
        <v>2.652999092465805E-18</v>
      </c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</row>
    <row r="88" spans="1:66" x14ac:dyDescent="0.3">
      <c r="A88"/>
      <c r="B88"/>
      <c r="C88"/>
      <c r="D88" s="29"/>
      <c r="E88" s="27"/>
      <c r="F88"/>
      <c r="G88" s="31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</row>
    <row r="89" spans="1:66" x14ac:dyDescent="0.3">
      <c r="A89"/>
      <c r="B89"/>
      <c r="C89"/>
      <c r="D89" s="28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</row>
    <row r="90" spans="1:66" x14ac:dyDescent="0.3">
      <c r="A90"/>
      <c r="B90"/>
      <c r="C90" t="s">
        <v>59</v>
      </c>
      <c r="D90" s="24">
        <f>D86+2*D87*AVERAGE(E2:E63)</f>
        <v>87.056324444118445</v>
      </c>
      <c r="E90" t="s">
        <v>77</v>
      </c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</row>
    <row r="91" spans="1:66" x14ac:dyDescent="0.3">
      <c r="A91"/>
      <c r="B91"/>
      <c r="C91" t="s">
        <v>60</v>
      </c>
      <c r="D91" s="32">
        <f>D90/B65</f>
        <v>2.0545137287338844E-3</v>
      </c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</row>
    <row r="92" spans="1:66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</row>
    <row r="93" spans="1:66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</row>
    <row r="94" spans="1:66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</row>
    <row r="95" spans="1:66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</row>
    <row r="96" spans="1:66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</row>
    <row r="97" spans="1:66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C677-FF2E-4043-8227-BA4CCFA33C39}">
  <dimension ref="A1:P161"/>
  <sheetViews>
    <sheetView topLeftCell="A55" zoomScaleNormal="100" workbookViewId="0">
      <selection activeCell="H75" sqref="H75"/>
    </sheetView>
  </sheetViews>
  <sheetFormatPr defaultColWidth="9.109375" defaultRowHeight="15.6" x14ac:dyDescent="0.3"/>
  <cols>
    <col min="1" max="1" width="9.109375" style="10"/>
    <col min="2" max="3" width="11.5546875" style="10" customWidth="1"/>
    <col min="4" max="4" width="12.6640625" style="10" customWidth="1"/>
    <col min="5" max="7" width="11.5546875" style="10" customWidth="1"/>
    <col min="8" max="8" width="18" style="10" customWidth="1"/>
    <col min="9" max="9" width="19" style="10" customWidth="1"/>
    <col min="10" max="10" width="18.6640625" style="10" customWidth="1"/>
    <col min="11" max="11" width="22.44140625" style="10" customWidth="1"/>
    <col min="12" max="12" width="2.77734375" style="10" customWidth="1"/>
    <col min="13" max="13" width="3.109375" style="10" customWidth="1"/>
    <col min="14" max="14" width="9.109375" style="10"/>
    <col min="15" max="15" width="11.109375" style="10" customWidth="1"/>
    <col min="16" max="16" width="18.5546875" style="10" customWidth="1"/>
    <col min="17" max="16384" width="9.109375" style="10"/>
  </cols>
  <sheetData>
    <row r="1" spans="1:16" x14ac:dyDescent="0.3">
      <c r="A1" s="15" t="s">
        <v>0</v>
      </c>
      <c r="B1" s="15" t="s">
        <v>1</v>
      </c>
      <c r="C1" s="15"/>
      <c r="D1" s="15"/>
      <c r="E1" s="15" t="s">
        <v>50</v>
      </c>
      <c r="F1" s="15"/>
      <c r="G1" s="15" t="s">
        <v>13</v>
      </c>
      <c r="H1" s="15" t="s">
        <v>14</v>
      </c>
      <c r="I1" s="15" t="s">
        <v>15</v>
      </c>
      <c r="J1" s="15" t="s">
        <v>2</v>
      </c>
      <c r="K1" s="15" t="s">
        <v>3</v>
      </c>
      <c r="L1" s="15"/>
      <c r="M1" s="15"/>
      <c r="N1" s="15"/>
      <c r="O1" s="15" t="s">
        <v>52</v>
      </c>
      <c r="P1" s="15"/>
    </row>
    <row r="2" spans="1:16" x14ac:dyDescent="0.3">
      <c r="A2" s="15">
        <v>2010.1</v>
      </c>
      <c r="B2" s="33">
        <v>48489.7</v>
      </c>
      <c r="C2" s="15"/>
      <c r="D2" s="34">
        <v>1</v>
      </c>
      <c r="E2" s="34">
        <v>2</v>
      </c>
      <c r="F2" s="37">
        <f>MAX(B2:B63)</f>
        <v>56074</v>
      </c>
      <c r="G2" s="15">
        <f>$F$6/(1+$F$7*EXP(-$F$8*E2))</f>
        <v>39713.895662213916</v>
      </c>
      <c r="H2" s="15">
        <f>B2-G2</f>
        <v>8775.8043377860813</v>
      </c>
      <c r="I2" s="15">
        <f>H2^2</f>
        <v>77014741.775105</v>
      </c>
      <c r="J2" s="15"/>
      <c r="K2" s="15"/>
      <c r="L2" s="15"/>
      <c r="M2" s="15"/>
      <c r="N2" s="15"/>
      <c r="O2" s="15" t="s">
        <v>5</v>
      </c>
      <c r="P2" s="15" t="s">
        <v>6</v>
      </c>
    </row>
    <row r="3" spans="1:16" x14ac:dyDescent="0.3">
      <c r="A3" s="15">
        <v>2010.2</v>
      </c>
      <c r="B3" s="33">
        <v>49856.6</v>
      </c>
      <c r="C3" s="15"/>
      <c r="D3" s="34">
        <v>1</v>
      </c>
      <c r="E3" s="34">
        <f>E2+1</f>
        <v>3</v>
      </c>
      <c r="F3" s="15">
        <f>(F2-B2)/B2</f>
        <v>0.15641053667067445</v>
      </c>
      <c r="G3" s="15">
        <f t="shared" ref="G3:G63" si="0">$F$6/(1+$F$7*EXP(-$F$8*E3))</f>
        <v>39800.688980662344</v>
      </c>
      <c r="H3" s="15">
        <f t="shared" ref="H3:H63" si="1">B3-G3</f>
        <v>10055.911019337655</v>
      </c>
      <c r="I3" s="15">
        <f t="shared" ref="I3:I63" si="2">H3^2</f>
        <v>101121346.42883646</v>
      </c>
      <c r="J3" s="15">
        <f>B3-B2</f>
        <v>1366.9000000000015</v>
      </c>
      <c r="K3" s="35">
        <f>J3-$P$4</f>
        <v>-1562.7245833333318</v>
      </c>
      <c r="L3" s="15"/>
      <c r="M3" s="15"/>
      <c r="N3" s="15" t="s">
        <v>7</v>
      </c>
      <c r="O3" s="35">
        <f>AVERAGE(J6,J10,J14,J18,J22,J26,J30,J34,J38,J42,J46,J50,J54,J58,J62)</f>
        <v>-4031.08</v>
      </c>
      <c r="P3" s="35">
        <f>O3-$O$7</f>
        <v>-4068.7304166666668</v>
      </c>
    </row>
    <row r="4" spans="1:16" x14ac:dyDescent="0.3">
      <c r="A4" s="15">
        <v>2010.3</v>
      </c>
      <c r="B4" s="33">
        <v>48755.4</v>
      </c>
      <c r="C4" s="15"/>
      <c r="D4" s="34">
        <v>1</v>
      </c>
      <c r="E4" s="34">
        <f t="shared" ref="E4:E63" si="3">E3+1</f>
        <v>4</v>
      </c>
      <c r="F4" s="15">
        <f>ABS((1/(47-16)*LN(((F2-B48)/B48)/((F2-B17)/B17))))</f>
        <v>1.1133951758650494E-2</v>
      </c>
      <c r="G4" s="15">
        <f t="shared" si="0"/>
        <v>39887.503970637546</v>
      </c>
      <c r="H4" s="15">
        <f t="shared" si="1"/>
        <v>8867.896029362455</v>
      </c>
      <c r="I4" s="15">
        <f t="shared" si="2"/>
        <v>78639579.9875824</v>
      </c>
      <c r="J4" s="15">
        <f t="shared" ref="J4:J63" si="4">B4-B3</f>
        <v>-1101.1999999999971</v>
      </c>
      <c r="K4" s="35">
        <f>J4-$P$5</f>
        <v>-3590.0295833333312</v>
      </c>
      <c r="L4" s="15"/>
      <c r="M4" s="15"/>
      <c r="N4" s="15" t="s">
        <v>8</v>
      </c>
      <c r="O4" s="35">
        <f>AVERAGE(J7,J11,J15,J19,J23,J27,J31,J35,J3,J39,J43,J47,J51,J55,J59,J63)</f>
        <v>2967.2750000000001</v>
      </c>
      <c r="P4" s="35">
        <f t="shared" ref="P4:P6" si="5">O4-$O$7</f>
        <v>2929.6245833333332</v>
      </c>
    </row>
    <row r="5" spans="1:16" x14ac:dyDescent="0.3">
      <c r="A5" s="15">
        <v>2010.4</v>
      </c>
      <c r="B5" s="33">
        <v>50094</v>
      </c>
      <c r="C5" s="15"/>
      <c r="D5" s="34">
        <v>1</v>
      </c>
      <c r="E5" s="34">
        <f t="shared" si="3"/>
        <v>5</v>
      </c>
      <c r="F5" s="15"/>
      <c r="G5" s="15">
        <f t="shared" si="0"/>
        <v>39974.339905927147</v>
      </c>
      <c r="H5" s="15">
        <f t="shared" si="1"/>
        <v>10119.660094072853</v>
      </c>
      <c r="I5" s="15">
        <f t="shared" si="2"/>
        <v>102407520.41957058</v>
      </c>
      <c r="J5" s="15">
        <f t="shared" si="4"/>
        <v>1338.5999999999985</v>
      </c>
      <c r="K5" s="35">
        <f>J5-$P$6</f>
        <v>2688.3237499999996</v>
      </c>
      <c r="L5" s="15"/>
      <c r="M5" s="15"/>
      <c r="N5" s="15" t="s">
        <v>9</v>
      </c>
      <c r="O5" s="35">
        <f>AVERAGE(J8,J12,J16,J20,J24,J28,J32,J4,J36,J40,J44,J48,J52,J56,J60)</f>
        <v>2526.4800000000009</v>
      </c>
      <c r="P5" s="35">
        <f t="shared" si="5"/>
        <v>2488.8295833333341</v>
      </c>
    </row>
    <row r="6" spans="1:16" x14ac:dyDescent="0.3">
      <c r="A6" s="15">
        <v>2011.1</v>
      </c>
      <c r="B6" s="33">
        <v>43083.6</v>
      </c>
      <c r="C6" s="15"/>
      <c r="D6" s="34">
        <v>1</v>
      </c>
      <c r="E6" s="34">
        <f t="shared" si="3"/>
        <v>6</v>
      </c>
      <c r="F6" s="36">
        <v>84746.401361029304</v>
      </c>
      <c r="G6" s="15">
        <f t="shared" si="0"/>
        <v>40061.196059614042</v>
      </c>
      <c r="H6" s="15">
        <f t="shared" si="1"/>
        <v>3022.403940385957</v>
      </c>
      <c r="I6" s="15">
        <f t="shared" si="2"/>
        <v>9134925.5788605586</v>
      </c>
      <c r="J6" s="15">
        <f t="shared" si="4"/>
        <v>-7010.4000000000015</v>
      </c>
      <c r="K6" s="35">
        <f>J6-$P$3</f>
        <v>-2941.6695833333347</v>
      </c>
      <c r="L6" s="15"/>
      <c r="M6" s="15"/>
      <c r="N6" s="15" t="s">
        <v>10</v>
      </c>
      <c r="O6" s="35">
        <f>AVERAGE(J9,J13,J17,J21,J25,J29,J33,J5,J37,J41,J45,J49,J53,J57,J61)</f>
        <v>-1312.0733333333342</v>
      </c>
      <c r="P6" s="35">
        <f t="shared" si="5"/>
        <v>-1349.723750000001</v>
      </c>
    </row>
    <row r="7" spans="1:16" x14ac:dyDescent="0.3">
      <c r="A7" s="15">
        <v>2011.2</v>
      </c>
      <c r="B7" s="33">
        <v>45650.8</v>
      </c>
      <c r="C7" s="15"/>
      <c r="D7" s="34">
        <v>1</v>
      </c>
      <c r="E7" s="34">
        <f t="shared" si="3"/>
        <v>7</v>
      </c>
      <c r="F7" s="36">
        <v>1.1432876446098548</v>
      </c>
      <c r="G7" s="15">
        <f t="shared" si="0"/>
        <v>40148.071704100585</v>
      </c>
      <c r="H7" s="15">
        <f t="shared" si="1"/>
        <v>5502.7282958994183</v>
      </c>
      <c r="I7" s="15">
        <f t="shared" si="2"/>
        <v>30280018.698492117</v>
      </c>
      <c r="J7" s="15">
        <f t="shared" si="4"/>
        <v>2567.2000000000044</v>
      </c>
      <c r="K7" s="35">
        <f t="shared" ref="K7" si="6">J7-$P$4</f>
        <v>-362.42458333332888</v>
      </c>
      <c r="L7" s="15"/>
      <c r="M7" s="15"/>
      <c r="N7" s="15"/>
      <c r="O7" s="35">
        <f>AVERAGE(O3:O6)</f>
        <v>37.650416666666729</v>
      </c>
      <c r="P7" s="13">
        <f>SUM(P3:P6)</f>
        <v>0</v>
      </c>
    </row>
    <row r="8" spans="1:16" x14ac:dyDescent="0.3">
      <c r="A8" s="15">
        <v>2011.3</v>
      </c>
      <c r="B8" s="33">
        <v>45345</v>
      </c>
      <c r="C8" s="15"/>
      <c r="D8" s="34">
        <v>1</v>
      </c>
      <c r="E8" s="34">
        <f t="shared" si="3"/>
        <v>8</v>
      </c>
      <c r="F8" s="36">
        <v>4.1122879980884514E-3</v>
      </c>
      <c r="G8" s="15">
        <f t="shared" si="0"/>
        <v>40234.966111132853</v>
      </c>
      <c r="H8" s="15">
        <f t="shared" si="1"/>
        <v>5110.0338888671467</v>
      </c>
      <c r="I8" s="15">
        <f t="shared" si="2"/>
        <v>26112446.345370695</v>
      </c>
      <c r="J8" s="15">
        <f t="shared" si="4"/>
        <v>-305.80000000000291</v>
      </c>
      <c r="K8" s="35">
        <f t="shared" ref="K8" si="7">J8-$P$5</f>
        <v>-2794.629583333337</v>
      </c>
      <c r="L8" s="15"/>
      <c r="M8" s="15"/>
      <c r="N8" s="15"/>
      <c r="O8" s="15"/>
      <c r="P8" s="15"/>
    </row>
    <row r="9" spans="1:16" x14ac:dyDescent="0.3">
      <c r="A9" s="15">
        <v>2011.4</v>
      </c>
      <c r="B9" s="33">
        <v>44267.9</v>
      </c>
      <c r="C9" s="15"/>
      <c r="D9" s="34">
        <v>1</v>
      </c>
      <c r="E9" s="34">
        <f t="shared" si="3"/>
        <v>9</v>
      </c>
      <c r="F9" s="15"/>
      <c r="G9" s="15">
        <f t="shared" si="0"/>
        <v>40321.878551825001</v>
      </c>
      <c r="H9" s="15">
        <f t="shared" si="1"/>
        <v>3946.0214481750008</v>
      </c>
      <c r="I9" s="15">
        <f t="shared" si="2"/>
        <v>15571085.269457132</v>
      </c>
      <c r="J9" s="15">
        <f t="shared" si="4"/>
        <v>-1077.0999999999985</v>
      </c>
      <c r="K9" s="35">
        <f t="shared" ref="K9" si="8">J9-$P$6</f>
        <v>272.62375000000247</v>
      </c>
      <c r="L9" s="15"/>
      <c r="M9" s="15"/>
      <c r="N9" s="15"/>
      <c r="O9" s="15"/>
      <c r="P9" s="15"/>
    </row>
    <row r="10" spans="1:16" x14ac:dyDescent="0.3">
      <c r="A10" s="15">
        <v>2012.1</v>
      </c>
      <c r="B10" s="33">
        <v>39075.199999999997</v>
      </c>
      <c r="C10" s="15"/>
      <c r="D10" s="34">
        <v>1</v>
      </c>
      <c r="E10" s="34">
        <f t="shared" si="3"/>
        <v>10</v>
      </c>
      <c r="F10" s="15"/>
      <c r="G10" s="15">
        <f t="shared" si="0"/>
        <v>40408.808296683557</v>
      </c>
      <c r="H10" s="15">
        <f t="shared" si="1"/>
        <v>-1333.6082966835602</v>
      </c>
      <c r="I10" s="15">
        <f t="shared" si="2"/>
        <v>1778511.0889832266</v>
      </c>
      <c r="J10" s="15">
        <f t="shared" si="4"/>
        <v>-5192.7000000000044</v>
      </c>
      <c r="K10" s="35">
        <f t="shared" ref="K10" si="9">J10-$P$3</f>
        <v>-1123.9695833333376</v>
      </c>
      <c r="L10" s="15"/>
      <c r="M10" s="15"/>
      <c r="N10" s="15"/>
      <c r="O10" s="15"/>
      <c r="P10" s="15"/>
    </row>
    <row r="11" spans="1:16" x14ac:dyDescent="0.3">
      <c r="A11" s="15">
        <v>2012.2</v>
      </c>
      <c r="B11" s="33">
        <v>41223.800000000003</v>
      </c>
      <c r="C11" s="15"/>
      <c r="D11" s="34">
        <v>1</v>
      </c>
      <c r="E11" s="34">
        <f t="shared" si="3"/>
        <v>11</v>
      </c>
      <c r="F11" s="15"/>
      <c r="G11" s="15">
        <f t="shared" si="0"/>
        <v>40495.754615631864</v>
      </c>
      <c r="H11" s="15">
        <f t="shared" si="1"/>
        <v>728.04538436813891</v>
      </c>
      <c r="I11" s="15">
        <f t="shared" si="2"/>
        <v>530050.08169975108</v>
      </c>
      <c r="J11" s="15">
        <f t="shared" si="4"/>
        <v>2148.6000000000058</v>
      </c>
      <c r="K11" s="35">
        <f t="shared" ref="K11:K63" si="10">J11-$P$4</f>
        <v>-781.02458333332743</v>
      </c>
      <c r="L11" s="15"/>
      <c r="M11" s="15"/>
      <c r="N11" s="15"/>
      <c r="O11" s="15"/>
      <c r="P11" s="15"/>
    </row>
    <row r="12" spans="1:16" x14ac:dyDescent="0.3">
      <c r="A12" s="15">
        <v>2012.3</v>
      </c>
      <c r="B12" s="33">
        <v>41766.800000000003</v>
      </c>
      <c r="C12" s="15"/>
      <c r="D12" s="34">
        <v>1</v>
      </c>
      <c r="E12" s="34">
        <f t="shared" si="3"/>
        <v>12</v>
      </c>
      <c r="F12" s="15"/>
      <c r="G12" s="15">
        <f t="shared" si="0"/>
        <v>40582.716778034526</v>
      </c>
      <c r="H12" s="15">
        <f t="shared" si="1"/>
        <v>1184.0832219654767</v>
      </c>
      <c r="I12" s="15">
        <f t="shared" si="2"/>
        <v>1402053.0765401444</v>
      </c>
      <c r="J12" s="15">
        <f t="shared" si="4"/>
        <v>543</v>
      </c>
      <c r="K12" s="35">
        <f t="shared" ref="K12:K60" si="11">J12-$P$5</f>
        <v>-1945.8295833333341</v>
      </c>
      <c r="L12" s="15"/>
      <c r="M12" s="15"/>
      <c r="N12" s="15"/>
      <c r="O12" s="15"/>
      <c r="P12" s="15"/>
    </row>
    <row r="13" spans="1:16" x14ac:dyDescent="0.3">
      <c r="A13" s="15">
        <v>2012.4</v>
      </c>
      <c r="B13" s="33">
        <v>41700.400000000001</v>
      </c>
      <c r="C13" s="15"/>
      <c r="D13" s="34">
        <v>1</v>
      </c>
      <c r="E13" s="34">
        <f t="shared" si="3"/>
        <v>13</v>
      </c>
      <c r="F13" s="15"/>
      <c r="G13" s="15">
        <f t="shared" si="0"/>
        <v>40669.694052721854</v>
      </c>
      <c r="H13" s="15">
        <f t="shared" si="1"/>
        <v>1030.7059472781475</v>
      </c>
      <c r="I13" s="15">
        <f t="shared" si="2"/>
        <v>1062354.7497545434</v>
      </c>
      <c r="J13" s="15">
        <f t="shared" si="4"/>
        <v>-66.400000000001455</v>
      </c>
      <c r="K13" s="35">
        <f t="shared" ref="K13:K61" si="12">J13-$P$6</f>
        <v>1283.3237499999996</v>
      </c>
      <c r="L13" s="15"/>
      <c r="M13" s="15"/>
      <c r="N13" s="15"/>
      <c r="O13" s="15"/>
      <c r="P13" s="15"/>
    </row>
    <row r="14" spans="1:16" x14ac:dyDescent="0.3">
      <c r="A14" s="15">
        <v>2013.1</v>
      </c>
      <c r="B14" s="33">
        <v>36810.699999999997</v>
      </c>
      <c r="C14" s="15"/>
      <c r="D14" s="34">
        <v>1</v>
      </c>
      <c r="E14" s="34">
        <f t="shared" si="3"/>
        <v>14</v>
      </c>
      <c r="F14" s="15"/>
      <c r="G14" s="15">
        <f t="shared" si="0"/>
        <v>40756.685708014411</v>
      </c>
      <c r="H14" s="15">
        <f t="shared" si="1"/>
        <v>-3945.9857080144138</v>
      </c>
      <c r="I14" s="15">
        <f t="shared" si="2"/>
        <v>15570803.207854014</v>
      </c>
      <c r="J14" s="15">
        <f t="shared" si="4"/>
        <v>-4889.7000000000044</v>
      </c>
      <c r="K14" s="35">
        <f t="shared" ref="K14" si="13">J14-$P$3</f>
        <v>-820.9695833333376</v>
      </c>
      <c r="L14" s="15"/>
      <c r="M14" s="15"/>
      <c r="N14" s="15"/>
      <c r="O14" s="15"/>
      <c r="P14" s="15"/>
    </row>
    <row r="15" spans="1:16" x14ac:dyDescent="0.3">
      <c r="A15" s="15">
        <v>2013.2</v>
      </c>
      <c r="B15" s="33">
        <v>39772.1</v>
      </c>
      <c r="C15" s="15"/>
      <c r="D15" s="34">
        <v>1</v>
      </c>
      <c r="E15" s="34">
        <f t="shared" si="3"/>
        <v>15</v>
      </c>
      <c r="F15" s="15"/>
      <c r="G15" s="15">
        <f t="shared" si="0"/>
        <v>40843.691011747585</v>
      </c>
      <c r="H15" s="15">
        <f t="shared" si="1"/>
        <v>-1071.5910117475869</v>
      </c>
      <c r="I15" s="15">
        <f t="shared" si="2"/>
        <v>1148307.2964582168</v>
      </c>
      <c r="J15" s="15">
        <f t="shared" si="4"/>
        <v>2961.4000000000015</v>
      </c>
      <c r="K15" s="35">
        <f t="shared" si="10"/>
        <v>31.775416666668207</v>
      </c>
      <c r="L15" s="15"/>
      <c r="M15" s="15"/>
      <c r="N15" s="15"/>
      <c r="O15" s="15"/>
      <c r="P15" s="15"/>
    </row>
    <row r="16" spans="1:16" x14ac:dyDescent="0.3">
      <c r="A16" s="15">
        <v>2013.3</v>
      </c>
      <c r="B16" s="33">
        <v>40769.199999999997</v>
      </c>
      <c r="C16" s="15"/>
      <c r="D16" s="34">
        <v>1</v>
      </c>
      <c r="E16" s="34">
        <f t="shared" si="3"/>
        <v>16</v>
      </c>
      <c r="F16" s="15"/>
      <c r="G16" s="15">
        <f t="shared" si="0"/>
        <v>40930.709231296125</v>
      </c>
      <c r="H16" s="15">
        <f t="shared" si="1"/>
        <v>-161.50923129612784</v>
      </c>
      <c r="I16" s="15">
        <f t="shared" si="2"/>
        <v>26085.231793866118</v>
      </c>
      <c r="J16" s="15">
        <f t="shared" si="4"/>
        <v>997.09999999999854</v>
      </c>
      <c r="K16" s="35">
        <f t="shared" si="11"/>
        <v>-1491.7295833333355</v>
      </c>
      <c r="L16" s="15"/>
      <c r="M16" s="15"/>
      <c r="N16" s="15"/>
      <c r="O16" s="15"/>
      <c r="P16" s="15"/>
    </row>
    <row r="17" spans="1:16" x14ac:dyDescent="0.3">
      <c r="A17" s="15">
        <v>2013.4</v>
      </c>
      <c r="B17" s="38">
        <v>40443.199999999997</v>
      </c>
      <c r="C17" s="15"/>
      <c r="D17" s="34">
        <v>1</v>
      </c>
      <c r="E17" s="34">
        <f t="shared" si="3"/>
        <v>17</v>
      </c>
      <c r="F17" s="15"/>
      <c r="G17" s="15">
        <f t="shared" si="0"/>
        <v>41017.739633598852</v>
      </c>
      <c r="H17" s="15">
        <f t="shared" si="1"/>
        <v>-574.53963359885529</v>
      </c>
      <c r="I17" s="15">
        <f t="shared" si="2"/>
        <v>330095.79057590687</v>
      </c>
      <c r="J17" s="15">
        <f t="shared" si="4"/>
        <v>-326</v>
      </c>
      <c r="K17" s="35">
        <f t="shared" si="12"/>
        <v>1023.723750000001</v>
      </c>
      <c r="L17" s="15"/>
      <c r="M17" s="15"/>
      <c r="N17" s="15"/>
      <c r="O17" s="15"/>
      <c r="P17" s="15"/>
    </row>
    <row r="18" spans="1:16" x14ac:dyDescent="0.3">
      <c r="A18" s="15">
        <v>2014.1</v>
      </c>
      <c r="B18" s="33">
        <v>36236.6</v>
      </c>
      <c r="C18" s="15"/>
      <c r="D18" s="34">
        <v>1</v>
      </c>
      <c r="E18" s="34">
        <f t="shared" si="3"/>
        <v>18</v>
      </c>
      <c r="F18" s="15"/>
      <c r="G18" s="15">
        <f t="shared" si="0"/>
        <v>41104.781485183208</v>
      </c>
      <c r="H18" s="15">
        <f t="shared" si="1"/>
        <v>-4868.1814851832096</v>
      </c>
      <c r="I18" s="15">
        <f t="shared" si="2"/>
        <v>23699190.972680598</v>
      </c>
      <c r="J18" s="15">
        <f t="shared" si="4"/>
        <v>-4206.5999999999985</v>
      </c>
      <c r="K18" s="35">
        <f t="shared" ref="K18" si="14">J18-$P$3</f>
        <v>-137.86958333333178</v>
      </c>
      <c r="L18" s="15"/>
      <c r="M18" s="15"/>
      <c r="N18" s="15"/>
      <c r="O18" s="15"/>
      <c r="P18" s="15"/>
    </row>
    <row r="19" spans="1:16" x14ac:dyDescent="0.3">
      <c r="A19" s="15">
        <v>2014.2</v>
      </c>
      <c r="B19" s="33">
        <v>38745.9</v>
      </c>
      <c r="C19" s="15"/>
      <c r="D19" s="34">
        <v>1</v>
      </c>
      <c r="E19" s="34">
        <f t="shared" si="3"/>
        <v>19</v>
      </c>
      <c r="F19" s="15"/>
      <c r="G19" s="15">
        <f t="shared" si="0"/>
        <v>41191.834052190039</v>
      </c>
      <c r="H19" s="15">
        <f t="shared" si="1"/>
        <v>-2445.9340521900376</v>
      </c>
      <c r="I19" s="15">
        <f t="shared" si="2"/>
        <v>5982593.3876627777</v>
      </c>
      <c r="J19" s="15">
        <f t="shared" si="4"/>
        <v>2509.3000000000029</v>
      </c>
      <c r="K19" s="35">
        <f t="shared" si="10"/>
        <v>-420.32458333333034</v>
      </c>
      <c r="L19" s="15"/>
      <c r="M19" s="15"/>
      <c r="N19" s="15"/>
      <c r="O19" s="15"/>
      <c r="P19" s="15"/>
    </row>
    <row r="20" spans="1:16" x14ac:dyDescent="0.3">
      <c r="A20" s="15">
        <v>2014.3</v>
      </c>
      <c r="B20" s="33">
        <v>40325.300000000003</v>
      </c>
      <c r="C20" s="15"/>
      <c r="D20" s="34">
        <v>1</v>
      </c>
      <c r="E20" s="34">
        <f t="shared" si="3"/>
        <v>20</v>
      </c>
      <c r="F20" s="15"/>
      <c r="G20" s="15">
        <f t="shared" si="0"/>
        <v>41278.89660039825</v>
      </c>
      <c r="H20" s="15">
        <f t="shared" si="1"/>
        <v>-953.59660039824666</v>
      </c>
      <c r="I20" s="15">
        <f t="shared" si="2"/>
        <v>909346.47629109328</v>
      </c>
      <c r="J20" s="15">
        <f t="shared" si="4"/>
        <v>1579.4000000000015</v>
      </c>
      <c r="K20" s="35">
        <f t="shared" si="11"/>
        <v>-909.42958333333263</v>
      </c>
      <c r="L20" s="15"/>
      <c r="M20" s="15"/>
      <c r="N20" s="15"/>
      <c r="O20" s="15"/>
      <c r="P20" s="15"/>
    </row>
    <row r="21" spans="1:16" x14ac:dyDescent="0.3">
      <c r="A21" s="15">
        <v>2014.4</v>
      </c>
      <c r="B21" s="33">
        <v>40047.5</v>
      </c>
      <c r="C21" s="15"/>
      <c r="D21" s="34">
        <v>1</v>
      </c>
      <c r="E21" s="34">
        <f t="shared" si="3"/>
        <v>21</v>
      </c>
      <c r="F21" s="15"/>
      <c r="G21" s="15">
        <f t="shared" si="0"/>
        <v>41365.96839524954</v>
      </c>
      <c r="H21" s="15">
        <f t="shared" si="1"/>
        <v>-1318.4683952495398</v>
      </c>
      <c r="I21" s="15">
        <f t="shared" si="2"/>
        <v>1738358.9092718966</v>
      </c>
      <c r="J21" s="15">
        <f t="shared" si="4"/>
        <v>-277.80000000000291</v>
      </c>
      <c r="K21" s="35">
        <f t="shared" si="12"/>
        <v>1071.9237499999981</v>
      </c>
      <c r="L21" s="15"/>
      <c r="M21" s="15"/>
      <c r="N21" s="15"/>
      <c r="O21" s="15"/>
      <c r="P21" s="15"/>
    </row>
    <row r="22" spans="1:16" x14ac:dyDescent="0.3">
      <c r="A22" s="15">
        <v>2015.1</v>
      </c>
      <c r="B22" s="33">
        <v>36268.1</v>
      </c>
      <c r="C22" s="15"/>
      <c r="D22" s="34">
        <v>1</v>
      </c>
      <c r="E22" s="34">
        <f t="shared" si="3"/>
        <v>22</v>
      </c>
      <c r="F22" s="15"/>
      <c r="G22" s="15">
        <f t="shared" si="0"/>
        <v>41453.048701873238</v>
      </c>
      <c r="H22" s="15">
        <f t="shared" si="1"/>
        <v>-5184.9487018732398</v>
      </c>
      <c r="I22" s="15">
        <f t="shared" si="2"/>
        <v>26883693.041056994</v>
      </c>
      <c r="J22" s="15">
        <f t="shared" si="4"/>
        <v>-3779.4000000000015</v>
      </c>
      <c r="K22" s="35">
        <f t="shared" ref="K22" si="15">J22-$P$3</f>
        <v>289.33041666666531</v>
      </c>
      <c r="L22" s="15"/>
      <c r="M22" s="15"/>
      <c r="N22" s="15"/>
      <c r="O22" s="15"/>
      <c r="P22" s="15"/>
    </row>
    <row r="23" spans="1:16" x14ac:dyDescent="0.3">
      <c r="A23" s="15">
        <v>2015.2</v>
      </c>
      <c r="B23" s="33">
        <v>38729.1</v>
      </c>
      <c r="C23" s="15"/>
      <c r="D23" s="34">
        <v>1</v>
      </c>
      <c r="E23" s="34">
        <f t="shared" si="3"/>
        <v>23</v>
      </c>
      <c r="F23" s="15"/>
      <c r="G23" s="15">
        <f t="shared" si="0"/>
        <v>41540.13678511099</v>
      </c>
      <c r="H23" s="15">
        <f t="shared" si="1"/>
        <v>-2811.0367851109913</v>
      </c>
      <c r="I23" s="15">
        <f t="shared" si="2"/>
        <v>7901927.8072471377</v>
      </c>
      <c r="J23" s="15">
        <f t="shared" si="4"/>
        <v>2461</v>
      </c>
      <c r="K23" s="35">
        <f t="shared" si="10"/>
        <v>-468.62458333333325</v>
      </c>
      <c r="L23" s="15"/>
      <c r="M23" s="15"/>
      <c r="N23" s="15"/>
      <c r="O23" s="15"/>
      <c r="P23" s="15"/>
    </row>
    <row r="24" spans="1:16" x14ac:dyDescent="0.3">
      <c r="A24" s="15">
        <v>2015.3</v>
      </c>
      <c r="B24" s="33">
        <v>39614</v>
      </c>
      <c r="C24" s="15"/>
      <c r="D24" s="34">
        <v>1</v>
      </c>
      <c r="E24" s="34">
        <f t="shared" si="3"/>
        <v>24</v>
      </c>
      <c r="F24" s="15"/>
      <c r="G24" s="15">
        <f t="shared" si="0"/>
        <v>41627.231909541624</v>
      </c>
      <c r="H24" s="15">
        <f t="shared" si="1"/>
        <v>-2013.2319095416242</v>
      </c>
      <c r="I24" s="15">
        <f t="shared" si="2"/>
        <v>4053102.7215966145</v>
      </c>
      <c r="J24" s="15">
        <f t="shared" si="4"/>
        <v>884.90000000000146</v>
      </c>
      <c r="K24" s="35">
        <f t="shared" si="11"/>
        <v>-1603.9295833333326</v>
      </c>
      <c r="L24" s="15"/>
      <c r="M24" s="15"/>
      <c r="N24" s="15"/>
      <c r="O24" s="15"/>
      <c r="P24" s="15"/>
    </row>
    <row r="25" spans="1:16" x14ac:dyDescent="0.3">
      <c r="A25" s="15">
        <v>2015.4</v>
      </c>
      <c r="B25" s="33">
        <v>40169.5</v>
      </c>
      <c r="C25" s="15"/>
      <c r="D25" s="34">
        <v>1</v>
      </c>
      <c r="E25" s="34">
        <f t="shared" si="3"/>
        <v>25</v>
      </c>
      <c r="F25" s="15"/>
      <c r="G25" s="15">
        <f t="shared" si="0"/>
        <v>41714.333339505967</v>
      </c>
      <c r="H25" s="15">
        <f t="shared" si="1"/>
        <v>-1544.8333395059672</v>
      </c>
      <c r="I25" s="15">
        <f t="shared" si="2"/>
        <v>2386510.0468491586</v>
      </c>
      <c r="J25" s="15">
        <f t="shared" si="4"/>
        <v>555.5</v>
      </c>
      <c r="K25" s="35">
        <f t="shared" si="12"/>
        <v>1905.223750000001</v>
      </c>
      <c r="L25" s="15"/>
      <c r="M25" s="15"/>
      <c r="N25" s="15"/>
      <c r="O25" s="15"/>
      <c r="P25" s="15"/>
    </row>
    <row r="26" spans="1:16" x14ac:dyDescent="0.3">
      <c r="A26" s="15">
        <v>2016.1</v>
      </c>
      <c r="B26" s="33">
        <v>35233.800000000003</v>
      </c>
      <c r="C26" s="15"/>
      <c r="D26" s="34">
        <v>1</v>
      </c>
      <c r="E26" s="34">
        <f t="shared" si="3"/>
        <v>26</v>
      </c>
      <c r="F26" s="15"/>
      <c r="G26" s="15">
        <f t="shared" si="0"/>
        <v>41801.440339131681</v>
      </c>
      <c r="H26" s="15">
        <f t="shared" si="1"/>
        <v>-6567.640339131678</v>
      </c>
      <c r="I26" s="15">
        <f t="shared" si="2"/>
        <v>43133899.62418966</v>
      </c>
      <c r="J26" s="15">
        <f t="shared" si="4"/>
        <v>-4935.6999999999971</v>
      </c>
      <c r="K26" s="35">
        <f t="shared" ref="K26" si="16">J26-$P$3</f>
        <v>-866.96958333333032</v>
      </c>
      <c r="L26" s="15"/>
      <c r="M26" s="15"/>
      <c r="N26" s="15"/>
      <c r="O26" s="15"/>
      <c r="P26" s="15"/>
    </row>
    <row r="27" spans="1:16" x14ac:dyDescent="0.3">
      <c r="A27" s="15">
        <v>2016.2</v>
      </c>
      <c r="B27" s="33">
        <v>37936</v>
      </c>
      <c r="C27" s="15"/>
      <c r="D27" s="34">
        <v>1</v>
      </c>
      <c r="E27" s="34">
        <f t="shared" si="3"/>
        <v>27</v>
      </c>
      <c r="F27" s="15"/>
      <c r="G27" s="15">
        <f t="shared" si="0"/>
        <v>41888.552172358119</v>
      </c>
      <c r="H27" s="15">
        <f t="shared" si="1"/>
        <v>-3952.5521723581187</v>
      </c>
      <c r="I27" s="15">
        <f t="shared" si="2"/>
        <v>15622668.675212882</v>
      </c>
      <c r="J27" s="15">
        <f t="shared" si="4"/>
        <v>2702.1999999999971</v>
      </c>
      <c r="K27" s="35">
        <f t="shared" si="10"/>
        <v>-227.42458333333616</v>
      </c>
      <c r="L27" s="15"/>
      <c r="M27" s="15"/>
      <c r="N27" s="15"/>
      <c r="O27" s="15"/>
      <c r="P27" s="15"/>
    </row>
    <row r="28" spans="1:16" x14ac:dyDescent="0.3">
      <c r="A28" s="15">
        <v>2016.3</v>
      </c>
      <c r="B28" s="33">
        <v>39732</v>
      </c>
      <c r="C28" s="15"/>
      <c r="D28" s="34">
        <v>1</v>
      </c>
      <c r="E28" s="34">
        <f t="shared" si="3"/>
        <v>28</v>
      </c>
      <c r="F28" s="15"/>
      <c r="G28" s="15">
        <f t="shared" si="0"/>
        <v>41975.668102961201</v>
      </c>
      <c r="H28" s="15">
        <f t="shared" si="1"/>
        <v>-2243.6681029612009</v>
      </c>
      <c r="I28" s="15">
        <f t="shared" si="2"/>
        <v>5034046.5562455142</v>
      </c>
      <c r="J28" s="15">
        <f t="shared" si="4"/>
        <v>1796</v>
      </c>
      <c r="K28" s="35">
        <f t="shared" si="11"/>
        <v>-692.82958333333409</v>
      </c>
      <c r="L28" s="15"/>
      <c r="M28" s="15"/>
      <c r="N28" s="15"/>
      <c r="O28" s="15"/>
      <c r="P28" s="15"/>
    </row>
    <row r="29" spans="1:16" x14ac:dyDescent="0.3">
      <c r="A29" s="15">
        <v>2016.4</v>
      </c>
      <c r="B29" s="33">
        <v>39113.800000000003</v>
      </c>
      <c r="C29" s="15"/>
      <c r="D29" s="34">
        <v>1</v>
      </c>
      <c r="E29" s="34">
        <f t="shared" si="3"/>
        <v>29</v>
      </c>
      <c r="F29" s="15"/>
      <c r="G29" s="15">
        <f t="shared" si="0"/>
        <v>42062.787394578292</v>
      </c>
      <c r="H29" s="15">
        <f t="shared" si="1"/>
        <v>-2948.9873945782892</v>
      </c>
      <c r="I29" s="15">
        <f t="shared" si="2"/>
        <v>8696526.6533816457</v>
      </c>
      <c r="J29" s="15">
        <f t="shared" si="4"/>
        <v>-618.19999999999709</v>
      </c>
      <c r="K29" s="35">
        <f t="shared" si="12"/>
        <v>731.52375000000393</v>
      </c>
      <c r="L29" s="15"/>
      <c r="M29" s="15"/>
      <c r="N29" s="15"/>
      <c r="O29" s="15"/>
      <c r="P29" s="15"/>
    </row>
    <row r="30" spans="1:16" x14ac:dyDescent="0.3">
      <c r="A30" s="15">
        <v>2017.1</v>
      </c>
      <c r="B30" s="33">
        <v>35997.300000000003</v>
      </c>
      <c r="C30" s="15"/>
      <c r="D30" s="34">
        <v>1</v>
      </c>
      <c r="E30" s="34">
        <f t="shared" si="3"/>
        <v>30</v>
      </c>
      <c r="F30" s="15"/>
      <c r="G30" s="15">
        <f t="shared" si="0"/>
        <v>42149.909310733106</v>
      </c>
      <c r="H30" s="15">
        <f t="shared" si="1"/>
        <v>-6152.6093107331035</v>
      </c>
      <c r="I30" s="15">
        <f t="shared" si="2"/>
        <v>37854601.330519676</v>
      </c>
      <c r="J30" s="15">
        <f t="shared" si="4"/>
        <v>-3116.5</v>
      </c>
      <c r="K30" s="35">
        <f t="shared" ref="K30" si="17">J30-$P$3</f>
        <v>952.23041666666677</v>
      </c>
      <c r="L30" s="15"/>
      <c r="M30" s="15"/>
      <c r="N30" s="15"/>
      <c r="O30" s="15"/>
      <c r="P30" s="15"/>
    </row>
    <row r="31" spans="1:16" x14ac:dyDescent="0.3">
      <c r="A31" s="15">
        <v>2017.2</v>
      </c>
      <c r="B31" s="33">
        <v>38526.1</v>
      </c>
      <c r="C31" s="15"/>
      <c r="D31" s="34">
        <v>1</v>
      </c>
      <c r="E31" s="34">
        <f t="shared" si="3"/>
        <v>31</v>
      </c>
      <c r="F31" s="15"/>
      <c r="G31" s="15">
        <f t="shared" si="0"/>
        <v>42237.033114860584</v>
      </c>
      <c r="H31" s="15">
        <f t="shared" si="1"/>
        <v>-3710.9331148605852</v>
      </c>
      <c r="I31" s="15">
        <f t="shared" si="2"/>
        <v>13771024.582968885</v>
      </c>
      <c r="J31" s="15">
        <f t="shared" si="4"/>
        <v>2528.7999999999956</v>
      </c>
      <c r="K31" s="35">
        <f t="shared" si="10"/>
        <v>-400.82458333333761</v>
      </c>
      <c r="L31" s="15"/>
      <c r="M31" s="15"/>
      <c r="N31" s="15"/>
      <c r="O31" s="15"/>
      <c r="P31" s="15"/>
    </row>
    <row r="32" spans="1:16" x14ac:dyDescent="0.3">
      <c r="A32" s="15">
        <v>2017.3</v>
      </c>
      <c r="B32" s="33">
        <v>41277.4</v>
      </c>
      <c r="C32" s="15"/>
      <c r="D32" s="34">
        <v>1</v>
      </c>
      <c r="E32" s="34">
        <f t="shared" si="3"/>
        <v>32</v>
      </c>
      <c r="F32" s="15"/>
      <c r="G32" s="15">
        <f t="shared" si="0"/>
        <v>42324.158070331825</v>
      </c>
      <c r="H32" s="15">
        <f t="shared" si="1"/>
        <v>-1046.7580703318235</v>
      </c>
      <c r="I32" s="15">
        <f t="shared" si="2"/>
        <v>1095702.4578048028</v>
      </c>
      <c r="J32" s="15">
        <f t="shared" si="4"/>
        <v>2751.3000000000029</v>
      </c>
      <c r="K32" s="35">
        <f t="shared" si="11"/>
        <v>262.47041666666883</v>
      </c>
      <c r="L32" s="15"/>
      <c r="M32" s="15"/>
      <c r="N32" s="15"/>
      <c r="O32" s="15"/>
      <c r="P32" s="15"/>
    </row>
    <row r="33" spans="1:16" x14ac:dyDescent="0.3">
      <c r="A33" s="15">
        <v>2017.4</v>
      </c>
      <c r="B33" s="33">
        <v>38981.5</v>
      </c>
      <c r="C33" s="15"/>
      <c r="D33" s="34">
        <v>1</v>
      </c>
      <c r="E33" s="34">
        <f t="shared" si="3"/>
        <v>33</v>
      </c>
      <c r="F33" s="15"/>
      <c r="G33" s="15">
        <f t="shared" si="0"/>
        <v>42411.28344047899</v>
      </c>
      <c r="H33" s="15">
        <f t="shared" si="1"/>
        <v>-3429.7834404789901</v>
      </c>
      <c r="I33" s="15">
        <f t="shared" si="2"/>
        <v>11763414.448583899</v>
      </c>
      <c r="J33" s="15">
        <f t="shared" si="4"/>
        <v>-2295.9000000000015</v>
      </c>
      <c r="K33" s="35">
        <f t="shared" si="12"/>
        <v>-946.17625000000044</v>
      </c>
      <c r="L33" s="15"/>
      <c r="M33" s="15"/>
      <c r="N33" s="15"/>
      <c r="O33" s="15"/>
      <c r="P33" s="15"/>
    </row>
    <row r="34" spans="1:16" x14ac:dyDescent="0.3">
      <c r="A34" s="15">
        <v>2018.1</v>
      </c>
      <c r="B34" s="33">
        <v>36049</v>
      </c>
      <c r="C34" s="15"/>
      <c r="D34" s="34">
        <v>1</v>
      </c>
      <c r="E34" s="34">
        <f t="shared" si="3"/>
        <v>34</v>
      </c>
      <c r="F34" s="15"/>
      <c r="G34" s="15">
        <f t="shared" si="0"/>
        <v>42498.408488620211</v>
      </c>
      <c r="H34" s="15">
        <f t="shared" si="1"/>
        <v>-6449.4084886202108</v>
      </c>
      <c r="I34" s="15">
        <f t="shared" si="2"/>
        <v>41594869.853086434</v>
      </c>
      <c r="J34" s="15">
        <f t="shared" si="4"/>
        <v>-2932.5</v>
      </c>
      <c r="K34" s="35">
        <f t="shared" ref="K34" si="18">J34-$P$3</f>
        <v>1136.2304166666668</v>
      </c>
      <c r="L34" s="15"/>
      <c r="M34" s="15"/>
      <c r="N34" s="15"/>
      <c r="O34" s="15"/>
      <c r="P34" s="15"/>
    </row>
    <row r="35" spans="1:16" x14ac:dyDescent="0.3">
      <c r="A35" s="15">
        <v>2018.2</v>
      </c>
      <c r="B35" s="33">
        <v>39184.9</v>
      </c>
      <c r="C35" s="15"/>
      <c r="D35" s="34">
        <v>1</v>
      </c>
      <c r="E35" s="34">
        <f t="shared" si="3"/>
        <v>35</v>
      </c>
      <c r="F35" s="15"/>
      <c r="G35" s="15">
        <f t="shared" si="0"/>
        <v>42585.532478084511</v>
      </c>
      <c r="H35" s="15">
        <f t="shared" si="1"/>
        <v>-3400.6324780845098</v>
      </c>
      <c r="I35" s="15">
        <f t="shared" si="2"/>
        <v>11564301.251003195</v>
      </c>
      <c r="J35" s="15">
        <f t="shared" si="4"/>
        <v>3135.9000000000015</v>
      </c>
      <c r="K35" s="35">
        <f t="shared" si="10"/>
        <v>206.27541666666821</v>
      </c>
      <c r="L35" s="15"/>
      <c r="M35" s="15"/>
      <c r="N35" s="15"/>
      <c r="O35" s="15"/>
      <c r="P35" s="15"/>
    </row>
    <row r="36" spans="1:16" x14ac:dyDescent="0.3">
      <c r="A36" s="15">
        <v>2018.3</v>
      </c>
      <c r="B36" s="33">
        <v>41724.6</v>
      </c>
      <c r="C36" s="15"/>
      <c r="D36" s="34">
        <v>1</v>
      </c>
      <c r="E36" s="34">
        <f t="shared" si="3"/>
        <v>36</v>
      </c>
      <c r="F36" s="15"/>
      <c r="G36" s="15">
        <f t="shared" si="0"/>
        <v>42672.654672236713</v>
      </c>
      <c r="H36" s="15">
        <f t="shared" si="1"/>
        <v>-948.0546722367144</v>
      </c>
      <c r="I36" s="15">
        <f t="shared" si="2"/>
        <v>898807.66154986399</v>
      </c>
      <c r="J36" s="15">
        <f t="shared" si="4"/>
        <v>2539.6999999999971</v>
      </c>
      <c r="K36" s="35">
        <f t="shared" si="11"/>
        <v>50.870416666663004</v>
      </c>
      <c r="L36" s="15"/>
      <c r="M36" s="15"/>
      <c r="N36" s="15"/>
      <c r="O36" s="15"/>
      <c r="P36" s="15"/>
    </row>
    <row r="37" spans="1:16" x14ac:dyDescent="0.3">
      <c r="A37" s="15">
        <v>2018.4</v>
      </c>
      <c r="B37" s="33">
        <v>39676.400000000001</v>
      </c>
      <c r="C37" s="15"/>
      <c r="D37" s="34">
        <v>1</v>
      </c>
      <c r="E37" s="34">
        <f t="shared" si="3"/>
        <v>37</v>
      </c>
      <c r="F37" s="15"/>
      <c r="G37" s="15">
        <f t="shared" si="0"/>
        <v>42759.774334502385</v>
      </c>
      <c r="H37" s="15">
        <f t="shared" si="1"/>
        <v>-3083.3743345023831</v>
      </c>
      <c r="I37" s="15">
        <f t="shared" si="2"/>
        <v>9507197.2866680138</v>
      </c>
      <c r="J37" s="15">
        <f t="shared" si="4"/>
        <v>-2048.1999999999971</v>
      </c>
      <c r="K37" s="35">
        <f t="shared" si="12"/>
        <v>-698.47624999999607</v>
      </c>
      <c r="L37" s="15"/>
      <c r="M37" s="15"/>
      <c r="N37" s="15"/>
      <c r="O37" s="15"/>
      <c r="P37" s="15"/>
    </row>
    <row r="38" spans="1:16" x14ac:dyDescent="0.3">
      <c r="A38" s="15">
        <v>2019.1</v>
      </c>
      <c r="B38" s="33">
        <v>36562.699999999997</v>
      </c>
      <c r="C38" s="15"/>
      <c r="D38" s="34">
        <v>1</v>
      </c>
      <c r="E38" s="34">
        <f t="shared" si="3"/>
        <v>38</v>
      </c>
      <c r="F38" s="15"/>
      <c r="G38" s="15">
        <f t="shared" si="0"/>
        <v>42846.890728392667</v>
      </c>
      <c r="H38" s="15">
        <f t="shared" si="1"/>
        <v>-6284.1907283926703</v>
      </c>
      <c r="I38" s="15">
        <f t="shared" si="2"/>
        <v>39491053.110816397</v>
      </c>
      <c r="J38" s="15">
        <f t="shared" si="4"/>
        <v>-3113.7000000000044</v>
      </c>
      <c r="K38" s="35">
        <f t="shared" ref="K38" si="19">J38-$P$3</f>
        <v>955.0304166666624</v>
      </c>
      <c r="L38" s="15"/>
      <c r="M38" s="15"/>
      <c r="N38" s="15"/>
      <c r="O38" s="15"/>
      <c r="P38" s="15"/>
    </row>
    <row r="39" spans="1:16" x14ac:dyDescent="0.3">
      <c r="A39" s="15">
        <v>2019.2</v>
      </c>
      <c r="B39" s="33">
        <v>40409.9</v>
      </c>
      <c r="C39" s="15"/>
      <c r="D39" s="34">
        <v>1</v>
      </c>
      <c r="E39" s="34">
        <f t="shared" si="3"/>
        <v>39</v>
      </c>
      <c r="F39" s="15"/>
      <c r="G39" s="15">
        <f t="shared" si="0"/>
        <v>42934.00311752929</v>
      </c>
      <c r="H39" s="15">
        <f t="shared" si="1"/>
        <v>-2524.1031175292883</v>
      </c>
      <c r="I39" s="15">
        <f t="shared" si="2"/>
        <v>6371096.5479210718</v>
      </c>
      <c r="J39" s="15">
        <f t="shared" si="4"/>
        <v>3847.2000000000044</v>
      </c>
      <c r="K39" s="35">
        <f t="shared" si="10"/>
        <v>917.57541666667112</v>
      </c>
      <c r="L39" s="15"/>
      <c r="M39" s="15"/>
      <c r="N39" s="15"/>
      <c r="O39" s="15"/>
      <c r="P39" s="15"/>
    </row>
    <row r="40" spans="1:16" x14ac:dyDescent="0.3">
      <c r="A40" s="15">
        <v>2019.3</v>
      </c>
      <c r="B40" s="33">
        <v>43406.8</v>
      </c>
      <c r="C40" s="15"/>
      <c r="D40" s="34">
        <v>1</v>
      </c>
      <c r="E40" s="34">
        <f t="shared" si="3"/>
        <v>40</v>
      </c>
      <c r="F40" s="15"/>
      <c r="G40" s="15">
        <f t="shared" si="0"/>
        <v>43021.110765669364</v>
      </c>
      <c r="H40" s="15">
        <f t="shared" si="1"/>
        <v>385.68923433063901</v>
      </c>
      <c r="I40" s="15">
        <f t="shared" si="2"/>
        <v>148756.18547855457</v>
      </c>
      <c r="J40" s="15">
        <f t="shared" si="4"/>
        <v>2996.9000000000015</v>
      </c>
      <c r="K40" s="35">
        <f t="shared" si="11"/>
        <v>508.07041666666737</v>
      </c>
      <c r="L40" s="15"/>
      <c r="M40" s="15"/>
      <c r="N40" s="15"/>
      <c r="O40" s="15"/>
      <c r="P40" s="15"/>
    </row>
    <row r="41" spans="1:16" x14ac:dyDescent="0.3">
      <c r="A41" s="15">
        <v>2019.4</v>
      </c>
      <c r="B41" s="33">
        <v>40353.199999999997</v>
      </c>
      <c r="C41" s="15"/>
      <c r="D41" s="34">
        <v>1</v>
      </c>
      <c r="E41" s="34">
        <f t="shared" si="3"/>
        <v>41</v>
      </c>
      <c r="F41" s="15"/>
      <c r="G41" s="15">
        <f t="shared" si="0"/>
        <v>43108.212936730313</v>
      </c>
      <c r="H41" s="15">
        <f t="shared" si="1"/>
        <v>-2755.0129367303161</v>
      </c>
      <c r="I41" s="15">
        <f t="shared" si="2"/>
        <v>7590096.2815514011</v>
      </c>
      <c r="J41" s="15">
        <f t="shared" si="4"/>
        <v>-3053.6000000000058</v>
      </c>
      <c r="K41" s="35">
        <f t="shared" si="12"/>
        <v>-1703.8762500000048</v>
      </c>
      <c r="L41" s="15"/>
      <c r="M41" s="15"/>
      <c r="N41" s="15"/>
      <c r="O41" s="15"/>
      <c r="P41" s="15"/>
    </row>
    <row r="42" spans="1:16" x14ac:dyDescent="0.3">
      <c r="A42" s="15">
        <v>2020.1</v>
      </c>
      <c r="B42" s="33">
        <v>36283.300000000003</v>
      </c>
      <c r="C42" s="15"/>
      <c r="D42" s="34">
        <v>1</v>
      </c>
      <c r="E42" s="34">
        <f t="shared" si="3"/>
        <v>42</v>
      </c>
      <c r="F42" s="15"/>
      <c r="G42" s="15">
        <f t="shared" si="0"/>
        <v>43195.308894814749</v>
      </c>
      <c r="H42" s="15">
        <f t="shared" si="1"/>
        <v>-6912.0088948147459</v>
      </c>
      <c r="I42" s="15">
        <f t="shared" si="2"/>
        <v>47775866.961998165</v>
      </c>
      <c r="J42" s="15">
        <f t="shared" si="4"/>
        <v>-4069.8999999999942</v>
      </c>
      <c r="K42" s="35">
        <f t="shared" ref="K42" si="20">J42-$P$3</f>
        <v>-1.1695833333274095</v>
      </c>
      <c r="L42" s="15"/>
      <c r="M42" s="15"/>
      <c r="N42" s="15"/>
      <c r="O42" s="15"/>
      <c r="P42" s="15"/>
    </row>
    <row r="43" spans="1:16" x14ac:dyDescent="0.3">
      <c r="A43" s="15">
        <v>2020.2</v>
      </c>
      <c r="B43" s="33">
        <v>34354.5</v>
      </c>
      <c r="C43" s="15"/>
      <c r="D43" s="34">
        <v>1</v>
      </c>
      <c r="E43" s="34">
        <f t="shared" si="3"/>
        <v>43</v>
      </c>
      <c r="F43" s="15"/>
      <c r="G43" s="15">
        <f t="shared" si="0"/>
        <v>43282.397904235309</v>
      </c>
      <c r="H43" s="15">
        <f t="shared" si="1"/>
        <v>-8927.8979042353094</v>
      </c>
      <c r="I43" s="15">
        <f t="shared" si="2"/>
        <v>79707360.988449231</v>
      </c>
      <c r="J43" s="15">
        <f t="shared" si="4"/>
        <v>-1928.8000000000029</v>
      </c>
      <c r="K43" s="35">
        <f t="shared" si="10"/>
        <v>-4858.4245833333362</v>
      </c>
      <c r="L43" s="15"/>
      <c r="M43" s="15"/>
      <c r="N43" s="15"/>
      <c r="O43" s="15"/>
      <c r="P43" s="15"/>
    </row>
    <row r="44" spans="1:16" x14ac:dyDescent="0.3">
      <c r="A44" s="15">
        <v>2020.3</v>
      </c>
      <c r="B44" s="33">
        <v>39026.300000000003</v>
      </c>
      <c r="C44" s="15"/>
      <c r="D44" s="34">
        <v>1</v>
      </c>
      <c r="E44" s="34">
        <f t="shared" si="3"/>
        <v>44</v>
      </c>
      <c r="F44" s="15"/>
      <c r="G44" s="15">
        <f t="shared" si="0"/>
        <v>43369.479229539524</v>
      </c>
      <c r="H44" s="15">
        <f t="shared" si="1"/>
        <v>-4343.1792295395207</v>
      </c>
      <c r="I44" s="15">
        <f t="shared" si="2"/>
        <v>18863205.819903504</v>
      </c>
      <c r="J44" s="15">
        <f t="shared" si="4"/>
        <v>4671.8000000000029</v>
      </c>
      <c r="K44" s="35">
        <f t="shared" si="11"/>
        <v>2182.9704166666688</v>
      </c>
      <c r="L44" s="15"/>
      <c r="M44" s="15"/>
      <c r="N44" s="15"/>
      <c r="O44" s="15"/>
      <c r="P44" s="15"/>
    </row>
    <row r="45" spans="1:16" x14ac:dyDescent="0.3">
      <c r="A45" s="15">
        <v>2020.4</v>
      </c>
      <c r="B45" s="33">
        <v>37572.199999999997</v>
      </c>
      <c r="C45" s="15"/>
      <c r="D45" s="34">
        <v>1</v>
      </c>
      <c r="E45" s="34">
        <f t="shared" si="3"/>
        <v>45</v>
      </c>
      <c r="F45" s="15"/>
      <c r="G45" s="15">
        <f t="shared" si="0"/>
        <v>43456.552135534621</v>
      </c>
      <c r="H45" s="15">
        <f t="shared" si="1"/>
        <v>-5884.3521355346238</v>
      </c>
      <c r="I45" s="15">
        <f t="shared" si="2"/>
        <v>34625600.05497089</v>
      </c>
      <c r="J45" s="15">
        <f t="shared" si="4"/>
        <v>-1454.1000000000058</v>
      </c>
      <c r="K45" s="35">
        <f t="shared" si="12"/>
        <v>-104.3762500000048</v>
      </c>
      <c r="L45" s="15"/>
      <c r="M45" s="15"/>
      <c r="N45" s="15"/>
      <c r="O45" s="15"/>
      <c r="P45" s="15"/>
    </row>
    <row r="46" spans="1:16" x14ac:dyDescent="0.3">
      <c r="A46" s="15">
        <v>2021.1</v>
      </c>
      <c r="B46" s="33">
        <v>35500.300000000003</v>
      </c>
      <c r="C46" s="15"/>
      <c r="D46" s="34">
        <v>1</v>
      </c>
      <c r="E46" s="34">
        <f t="shared" si="3"/>
        <v>46</v>
      </c>
      <c r="F46" s="15"/>
      <c r="G46" s="15">
        <f t="shared" si="0"/>
        <v>43543.615887312357</v>
      </c>
      <c r="H46" s="15">
        <f t="shared" si="1"/>
        <v>-8043.3158873123539</v>
      </c>
      <c r="I46" s="15">
        <f t="shared" si="2"/>
        <v>64694930.463091321</v>
      </c>
      <c r="J46" s="15">
        <f t="shared" si="4"/>
        <v>-2071.8999999999942</v>
      </c>
      <c r="K46" s="35">
        <f t="shared" ref="K46" si="21">J46-$P$3</f>
        <v>1996.8304166666726</v>
      </c>
      <c r="L46" s="15"/>
      <c r="M46" s="15"/>
      <c r="N46" s="15"/>
      <c r="O46" s="15"/>
      <c r="P46" s="15"/>
    </row>
    <row r="47" spans="1:16" x14ac:dyDescent="0.3">
      <c r="A47" s="15">
        <v>2021.2</v>
      </c>
      <c r="B47" s="33">
        <v>39015.699999999997</v>
      </c>
      <c r="C47" s="15"/>
      <c r="D47" s="34">
        <v>1</v>
      </c>
      <c r="E47" s="34">
        <f t="shared" si="3"/>
        <v>47</v>
      </c>
      <c r="F47" s="15"/>
      <c r="G47" s="15">
        <f t="shared" si="0"/>
        <v>43630.669750273788</v>
      </c>
      <c r="H47" s="15">
        <f t="shared" si="1"/>
        <v>-4614.9697502737909</v>
      </c>
      <c r="I47" s="15">
        <f t="shared" si="2"/>
        <v>21297945.795942135</v>
      </c>
      <c r="J47" s="15">
        <f t="shared" si="4"/>
        <v>3515.3999999999942</v>
      </c>
      <c r="K47" s="35">
        <f t="shared" si="10"/>
        <v>585.77541666666093</v>
      </c>
      <c r="L47" s="15"/>
      <c r="M47" s="15"/>
      <c r="N47" s="15"/>
      <c r="O47" s="15"/>
      <c r="P47" s="15"/>
    </row>
    <row r="48" spans="1:16" x14ac:dyDescent="0.3">
      <c r="A48" s="15">
        <v>2021.3</v>
      </c>
      <c r="B48" s="38">
        <v>44025.3</v>
      </c>
      <c r="C48" s="15"/>
      <c r="D48" s="34">
        <v>1</v>
      </c>
      <c r="E48" s="34">
        <f t="shared" si="3"/>
        <v>48</v>
      </c>
      <c r="F48" s="15"/>
      <c r="G48" s="15">
        <f t="shared" si="0"/>
        <v>43717.712990154039</v>
      </c>
      <c r="H48" s="15">
        <f t="shared" si="1"/>
        <v>307.58700984596362</v>
      </c>
      <c r="I48" s="15">
        <f t="shared" si="2"/>
        <v>94609.768625980927</v>
      </c>
      <c r="J48" s="15">
        <f t="shared" si="4"/>
        <v>5009.6000000000058</v>
      </c>
      <c r="K48" s="35">
        <f t="shared" si="11"/>
        <v>2520.7704166666717</v>
      </c>
      <c r="L48" s="15"/>
      <c r="M48" s="15"/>
      <c r="N48" s="15"/>
      <c r="O48" s="15"/>
      <c r="P48" s="15"/>
    </row>
    <row r="49" spans="1:16" x14ac:dyDescent="0.3">
      <c r="A49" s="15">
        <v>2021.4</v>
      </c>
      <c r="B49" s="33">
        <v>42474.1</v>
      </c>
      <c r="C49" s="15"/>
      <c r="D49" s="34">
        <v>1</v>
      </c>
      <c r="E49" s="34">
        <f t="shared" si="3"/>
        <v>49</v>
      </c>
      <c r="F49" s="15"/>
      <c r="G49" s="15">
        <f t="shared" si="0"/>
        <v>43804.744873047057</v>
      </c>
      <c r="H49" s="15">
        <f t="shared" si="1"/>
        <v>-1330.6448730470584</v>
      </c>
      <c r="I49" s="15">
        <f t="shared" si="2"/>
        <v>1770615.7781664222</v>
      </c>
      <c r="J49" s="15">
        <f t="shared" si="4"/>
        <v>-1551.2000000000044</v>
      </c>
      <c r="K49" s="35">
        <f t="shared" si="12"/>
        <v>-201.47625000000335</v>
      </c>
      <c r="L49" s="15"/>
      <c r="M49" s="15"/>
      <c r="N49" s="15"/>
      <c r="O49" s="15"/>
      <c r="P49" s="15"/>
    </row>
    <row r="50" spans="1:16" x14ac:dyDescent="0.3">
      <c r="A50" s="15">
        <v>2022.1</v>
      </c>
      <c r="B50" s="33">
        <v>40446.6</v>
      </c>
      <c r="C50" s="15"/>
      <c r="D50" s="34">
        <v>1</v>
      </c>
      <c r="E50" s="34">
        <f t="shared" si="3"/>
        <v>50</v>
      </c>
      <c r="F50" s="15"/>
      <c r="G50" s="15">
        <f t="shared" si="0"/>
        <v>43891.764665430324</v>
      </c>
      <c r="H50" s="15">
        <f t="shared" si="1"/>
        <v>-3445.1646654303258</v>
      </c>
      <c r="I50" s="15">
        <f t="shared" si="2"/>
        <v>11869159.571929649</v>
      </c>
      <c r="J50" s="15">
        <f t="shared" si="4"/>
        <v>-2027.5</v>
      </c>
      <c r="K50" s="35">
        <f t="shared" ref="K50" si="22">J50-$P$3</f>
        <v>2041.2304166666668</v>
      </c>
      <c r="L50" s="15"/>
      <c r="M50" s="15"/>
      <c r="N50" s="15"/>
      <c r="O50" s="15"/>
      <c r="P50" s="15"/>
    </row>
    <row r="51" spans="1:16" x14ac:dyDescent="0.3">
      <c r="A51" s="15">
        <v>2022.2</v>
      </c>
      <c r="B51" s="33">
        <v>44851.1</v>
      </c>
      <c r="C51" s="15"/>
      <c r="D51" s="34">
        <v>1</v>
      </c>
      <c r="E51" s="34">
        <f t="shared" si="3"/>
        <v>51</v>
      </c>
      <c r="F51" s="15"/>
      <c r="G51" s="15">
        <f t="shared" si="0"/>
        <v>43978.771634189521</v>
      </c>
      <c r="H51" s="15">
        <f t="shared" si="1"/>
        <v>872.32836581047741</v>
      </c>
      <c r="I51" s="15">
        <f t="shared" si="2"/>
        <v>760956.77779757814</v>
      </c>
      <c r="J51" s="15">
        <f t="shared" si="4"/>
        <v>4404.5</v>
      </c>
      <c r="K51" s="35">
        <f t="shared" si="10"/>
        <v>1474.8754166666668</v>
      </c>
      <c r="L51" s="15"/>
      <c r="M51" s="15"/>
      <c r="N51" s="15"/>
      <c r="O51" s="15"/>
      <c r="P51" s="15"/>
    </row>
    <row r="52" spans="1:16" x14ac:dyDescent="0.3">
      <c r="A52" s="15">
        <v>2022.3</v>
      </c>
      <c r="B52" s="33">
        <v>50374.1</v>
      </c>
      <c r="C52" s="15"/>
      <c r="D52" s="34">
        <v>1</v>
      </c>
      <c r="E52" s="34">
        <f t="shared" si="3"/>
        <v>52</v>
      </c>
      <c r="F52" s="15"/>
      <c r="G52" s="15">
        <f t="shared" si="0"/>
        <v>44065.765046643224</v>
      </c>
      <c r="H52" s="15">
        <f t="shared" si="1"/>
        <v>6308.3349533567743</v>
      </c>
      <c r="I52" s="15">
        <f t="shared" si="2"/>
        <v>39795089.883742817</v>
      </c>
      <c r="J52" s="15">
        <f t="shared" si="4"/>
        <v>5523</v>
      </c>
      <c r="K52" s="35">
        <f t="shared" si="11"/>
        <v>3034.1704166666659</v>
      </c>
      <c r="L52" s="15"/>
      <c r="M52" s="15"/>
      <c r="N52" s="15"/>
      <c r="O52" s="15"/>
      <c r="P52" s="15"/>
    </row>
    <row r="53" spans="1:16" x14ac:dyDescent="0.3">
      <c r="A53" s="15">
        <v>2022.4</v>
      </c>
      <c r="B53" s="33">
        <v>47736.9</v>
      </c>
      <c r="C53" s="15"/>
      <c r="D53" s="34">
        <v>1</v>
      </c>
      <c r="E53" s="34">
        <f t="shared" si="3"/>
        <v>53</v>
      </c>
      <c r="F53" s="15"/>
      <c r="G53" s="15">
        <f t="shared" si="0"/>
        <v>44152.744170567516</v>
      </c>
      <c r="H53" s="15">
        <f t="shared" si="1"/>
        <v>3584.1558294324859</v>
      </c>
      <c r="I53" s="15">
        <f t="shared" si="2"/>
        <v>12846173.00965487</v>
      </c>
      <c r="J53" s="15">
        <f t="shared" si="4"/>
        <v>-2637.1999999999971</v>
      </c>
      <c r="K53" s="35">
        <f t="shared" si="12"/>
        <v>-1287.4762499999961</v>
      </c>
      <c r="L53" s="15"/>
      <c r="M53" s="15"/>
      <c r="N53" s="15"/>
      <c r="O53" s="15"/>
      <c r="P53" s="15"/>
    </row>
    <row r="54" spans="1:16" x14ac:dyDescent="0.3">
      <c r="A54" s="15">
        <v>2023.1</v>
      </c>
      <c r="B54" s="33">
        <v>44156.9</v>
      </c>
      <c r="C54" s="15"/>
      <c r="D54" s="34">
        <v>1</v>
      </c>
      <c r="E54" s="34">
        <f t="shared" si="3"/>
        <v>54</v>
      </c>
      <c r="F54" s="15"/>
      <c r="G54" s="15">
        <f t="shared" si="0"/>
        <v>44239.708274220575</v>
      </c>
      <c r="H54" s="15">
        <f t="shared" si="1"/>
        <v>-82.808274220573367</v>
      </c>
      <c r="I54" s="15">
        <f t="shared" si="2"/>
        <v>6857.2102793896756</v>
      </c>
      <c r="J54" s="15">
        <f t="shared" si="4"/>
        <v>-3580</v>
      </c>
      <c r="K54" s="35">
        <f t="shared" ref="K54" si="23">J54-$P$3</f>
        <v>488.73041666666677</v>
      </c>
      <c r="L54" s="15"/>
      <c r="M54" s="15"/>
      <c r="N54" s="15"/>
      <c r="O54" s="15"/>
      <c r="P54" s="15"/>
    </row>
    <row r="55" spans="1:16" x14ac:dyDescent="0.3">
      <c r="A55" s="15">
        <v>2023.2</v>
      </c>
      <c r="B55" s="33">
        <v>48505.9</v>
      </c>
      <c r="C55" s="15"/>
      <c r="D55" s="34">
        <v>1</v>
      </c>
      <c r="E55" s="34">
        <f t="shared" si="3"/>
        <v>55</v>
      </c>
      <c r="F55" s="15"/>
      <c r="G55" s="15">
        <f t="shared" si="0"/>
        <v>44326.65662636725</v>
      </c>
      <c r="H55" s="15">
        <f t="shared" si="1"/>
        <v>4179.2433736327512</v>
      </c>
      <c r="I55" s="15">
        <f t="shared" si="2"/>
        <v>17466075.17605326</v>
      </c>
      <c r="J55" s="15">
        <f t="shared" si="4"/>
        <v>4349</v>
      </c>
      <c r="K55" s="35">
        <f t="shared" si="10"/>
        <v>1419.3754166666668</v>
      </c>
      <c r="L55" s="15"/>
      <c r="M55" s="15"/>
      <c r="N55" s="15"/>
      <c r="O55" s="15"/>
      <c r="P55" s="15"/>
    </row>
    <row r="56" spans="1:16" x14ac:dyDescent="0.3">
      <c r="A56" s="15">
        <v>2023.3</v>
      </c>
      <c r="B56" s="33">
        <v>53448.4</v>
      </c>
      <c r="C56" s="15"/>
      <c r="D56" s="34">
        <v>1</v>
      </c>
      <c r="E56" s="34">
        <f t="shared" si="3"/>
        <v>56</v>
      </c>
      <c r="F56" s="15"/>
      <c r="G56" s="15">
        <f t="shared" si="0"/>
        <v>44413.588496303571</v>
      </c>
      <c r="H56" s="15">
        <f t="shared" si="1"/>
        <v>9034.81150369643</v>
      </c>
      <c r="I56" s="15">
        <f t="shared" si="2"/>
        <v>81627818.907325342</v>
      </c>
      <c r="J56" s="15">
        <f t="shared" si="4"/>
        <v>4942.5</v>
      </c>
      <c r="K56" s="35">
        <f t="shared" si="11"/>
        <v>2453.6704166666659</v>
      </c>
      <c r="L56" s="15"/>
      <c r="M56" s="15"/>
      <c r="N56" s="15"/>
      <c r="O56" s="15"/>
      <c r="P56" s="15"/>
    </row>
    <row r="57" spans="1:16" x14ac:dyDescent="0.3">
      <c r="A57" s="15">
        <v>2023.4</v>
      </c>
      <c r="B57" s="33">
        <v>50416.9</v>
      </c>
      <c r="C57" s="15"/>
      <c r="D57" s="34">
        <v>1</v>
      </c>
      <c r="E57" s="34">
        <f t="shared" si="3"/>
        <v>57</v>
      </c>
      <c r="F57" s="15"/>
      <c r="G57" s="15">
        <f t="shared" si="0"/>
        <v>44500.503153881262</v>
      </c>
      <c r="H57" s="15">
        <f t="shared" si="1"/>
        <v>5916.3968461187396</v>
      </c>
      <c r="I57" s="15">
        <f t="shared" si="2"/>
        <v>35003751.640763767</v>
      </c>
      <c r="J57" s="15">
        <f t="shared" si="4"/>
        <v>-3031.5</v>
      </c>
      <c r="K57" s="35">
        <f t="shared" si="12"/>
        <v>-1681.776249999999</v>
      </c>
      <c r="L57" s="15"/>
      <c r="M57" s="15"/>
      <c r="N57" s="15"/>
      <c r="O57" s="15"/>
      <c r="P57" s="15"/>
    </row>
    <row r="58" spans="1:16" x14ac:dyDescent="0.3">
      <c r="A58" s="15">
        <v>2024.1</v>
      </c>
      <c r="B58" s="33">
        <v>45905.4</v>
      </c>
      <c r="C58" s="15"/>
      <c r="D58" s="34">
        <v>1</v>
      </c>
      <c r="E58" s="34">
        <f t="shared" si="3"/>
        <v>58</v>
      </c>
      <c r="F58" s="15"/>
      <c r="G58" s="15">
        <f t="shared" si="0"/>
        <v>44587.399869532157</v>
      </c>
      <c r="H58" s="15">
        <f t="shared" si="1"/>
        <v>1318.0001304678444</v>
      </c>
      <c r="I58" s="15">
        <f t="shared" si="2"/>
        <v>1737124.343913255</v>
      </c>
      <c r="J58" s="15">
        <f t="shared" si="4"/>
        <v>-4511.5</v>
      </c>
      <c r="K58" s="35">
        <f t="shared" ref="K58" si="24">J58-$P$3</f>
        <v>-442.76958333333323</v>
      </c>
      <c r="L58" s="15"/>
      <c r="M58" s="15"/>
      <c r="N58" s="15"/>
      <c r="O58" s="15"/>
      <c r="P58" s="15"/>
    </row>
    <row r="59" spans="1:16" x14ac:dyDescent="0.3">
      <c r="A59" s="15">
        <v>2024.2</v>
      </c>
      <c r="B59" s="33">
        <v>51005</v>
      </c>
      <c r="C59" s="15"/>
      <c r="D59" s="34">
        <v>1</v>
      </c>
      <c r="E59" s="34">
        <f t="shared" si="3"/>
        <v>59</v>
      </c>
      <c r="F59" s="15"/>
      <c r="G59" s="15">
        <f t="shared" si="0"/>
        <v>44674.277914292608</v>
      </c>
      <c r="H59" s="15">
        <f t="shared" si="1"/>
        <v>6330.7220857073917</v>
      </c>
      <c r="I59" s="15">
        <f t="shared" si="2"/>
        <v>40078042.126463346</v>
      </c>
      <c r="J59" s="15">
        <f t="shared" si="4"/>
        <v>5099.5999999999985</v>
      </c>
      <c r="K59" s="35">
        <f t="shared" si="10"/>
        <v>2169.9754166666653</v>
      </c>
      <c r="L59" s="15"/>
      <c r="M59" s="15"/>
      <c r="N59" s="15"/>
      <c r="O59" s="15"/>
      <c r="P59" s="15"/>
    </row>
    <row r="60" spans="1:16" x14ac:dyDescent="0.3">
      <c r="A60" s="15">
        <v>2024.3</v>
      </c>
      <c r="B60" s="33">
        <v>56074</v>
      </c>
      <c r="C60" s="15"/>
      <c r="D60" s="34">
        <v>1</v>
      </c>
      <c r="E60" s="34">
        <f t="shared" si="3"/>
        <v>60</v>
      </c>
      <c r="F60" s="15"/>
      <c r="G60" s="15">
        <f t="shared" si="0"/>
        <v>44761.136559827886</v>
      </c>
      <c r="H60" s="15">
        <f t="shared" si="1"/>
        <v>11312.863440172114</v>
      </c>
      <c r="I60" s="15">
        <f t="shared" si="2"/>
        <v>127980879.21598284</v>
      </c>
      <c r="J60" s="15">
        <f t="shared" si="4"/>
        <v>5069</v>
      </c>
      <c r="K60" s="35">
        <f t="shared" si="11"/>
        <v>2580.1704166666659</v>
      </c>
      <c r="L60" s="15"/>
      <c r="M60" s="15"/>
      <c r="N60" s="15"/>
      <c r="O60" s="15"/>
      <c r="P60" s="15"/>
    </row>
    <row r="61" spans="1:16" x14ac:dyDescent="0.3">
      <c r="A61" s="15">
        <v>2024.4</v>
      </c>
      <c r="B61" s="33">
        <v>52936</v>
      </c>
      <c r="C61" s="15"/>
      <c r="D61" s="34">
        <v>1</v>
      </c>
      <c r="E61" s="34">
        <f t="shared" si="3"/>
        <v>61</v>
      </c>
      <c r="F61" s="15"/>
      <c r="G61" s="15">
        <f t="shared" si="0"/>
        <v>44847.975078456438</v>
      </c>
      <c r="H61" s="15">
        <f t="shared" si="1"/>
        <v>8088.0249215435615</v>
      </c>
      <c r="I61" s="15">
        <f t="shared" si="2"/>
        <v>65416147.131509736</v>
      </c>
      <c r="J61" s="15">
        <f t="shared" si="4"/>
        <v>-3138</v>
      </c>
      <c r="K61" s="35">
        <f t="shared" si="12"/>
        <v>-1788.276249999999</v>
      </c>
      <c r="L61" s="15"/>
      <c r="M61" s="15"/>
      <c r="N61" s="15"/>
      <c r="O61" s="15"/>
      <c r="P61" s="15"/>
    </row>
    <row r="62" spans="1:16" x14ac:dyDescent="0.3">
      <c r="A62" s="15">
        <v>2025.1</v>
      </c>
      <c r="B62" s="33">
        <v>47907.8</v>
      </c>
      <c r="C62" s="15"/>
      <c r="D62" s="34">
        <v>1</v>
      </c>
      <c r="E62" s="34">
        <f t="shared" si="3"/>
        <v>62</v>
      </c>
      <c r="F62" s="15"/>
      <c r="G62" s="15">
        <f t="shared" si="0"/>
        <v>44934.792743174236</v>
      </c>
      <c r="H62" s="15">
        <f t="shared" si="1"/>
        <v>2973.0072568257674</v>
      </c>
      <c r="I62" s="15">
        <f t="shared" si="2"/>
        <v>8838772.1491386741</v>
      </c>
      <c r="J62" s="15">
        <f t="shared" si="4"/>
        <v>-5028.1999999999971</v>
      </c>
      <c r="K62" s="35">
        <f t="shared" ref="K62" si="25">J62-$P$3</f>
        <v>-959.46958333333032</v>
      </c>
      <c r="L62" s="15"/>
      <c r="M62" s="15"/>
      <c r="N62" s="15"/>
      <c r="O62" s="15"/>
      <c r="P62" s="15"/>
    </row>
    <row r="63" spans="1:16" x14ac:dyDescent="0.3">
      <c r="A63" s="15">
        <v>2025.2</v>
      </c>
      <c r="B63" s="33">
        <v>53716</v>
      </c>
      <c r="C63" s="15"/>
      <c r="D63" s="34">
        <v>1</v>
      </c>
      <c r="E63" s="34">
        <f t="shared" si="3"/>
        <v>63</v>
      </c>
      <c r="F63" s="15"/>
      <c r="G63" s="15">
        <f t="shared" si="0"/>
        <v>45021.588827678897</v>
      </c>
      <c r="H63" s="15">
        <f t="shared" si="1"/>
        <v>8694.4111723211026</v>
      </c>
      <c r="I63" s="15">
        <f t="shared" si="2"/>
        <v>75592785.633382007</v>
      </c>
      <c r="J63" s="15">
        <f t="shared" si="4"/>
        <v>5808.1999999999971</v>
      </c>
      <c r="K63" s="35">
        <f t="shared" si="10"/>
        <v>2878.5754166666638</v>
      </c>
      <c r="L63" s="15"/>
      <c r="M63" s="15"/>
      <c r="N63" s="15"/>
      <c r="O63" s="15"/>
      <c r="P63" s="15"/>
    </row>
    <row r="64" spans="1:16" x14ac:dyDescent="0.3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</row>
    <row r="65" spans="1:16" x14ac:dyDescent="0.3">
      <c r="A65" s="15"/>
      <c r="B65" s="37">
        <f>AVERAGE(B2:B63)</f>
        <v>42373.20161290322</v>
      </c>
      <c r="C65" s="15"/>
      <c r="D65" s="15"/>
      <c r="E65" s="15"/>
      <c r="F65" s="15"/>
      <c r="G65" s="15"/>
      <c r="H65" s="15" t="s">
        <v>53</v>
      </c>
      <c r="I65" s="12">
        <f>SUM(I2:I63)</f>
        <v>1577672479.3056571</v>
      </c>
      <c r="J65" s="15"/>
      <c r="K65" s="15"/>
      <c r="L65" s="15"/>
      <c r="M65" s="15"/>
      <c r="N65" s="15"/>
      <c r="O65" s="15"/>
      <c r="P65" s="15"/>
    </row>
    <row r="66" spans="1:16" x14ac:dyDescent="0.3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</row>
    <row r="67" spans="1:16" x14ac:dyDescent="0.3">
      <c r="A67" s="15"/>
      <c r="B67" s="15"/>
      <c r="C67" s="15"/>
      <c r="D67" s="15"/>
      <c r="E67" s="15"/>
      <c r="F67" s="15"/>
      <c r="G67" s="15"/>
      <c r="H67" s="15" t="s">
        <v>54</v>
      </c>
      <c r="I67" s="7">
        <f>I65/(62-3)</f>
        <v>26740211.513655204</v>
      </c>
      <c r="J67" s="15"/>
      <c r="K67" s="15"/>
      <c r="L67" s="15"/>
      <c r="M67" s="15"/>
      <c r="N67" s="15"/>
      <c r="O67" s="15"/>
      <c r="P67" s="15"/>
    </row>
    <row r="68" spans="1:16" x14ac:dyDescent="0.3">
      <c r="A68" s="15" t="s">
        <v>61</v>
      </c>
      <c r="B68" s="15">
        <f>62*0.25</f>
        <v>15.5</v>
      </c>
      <c r="C68" s="15">
        <v>16</v>
      </c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</row>
    <row r="69" spans="1:16" x14ac:dyDescent="0.3">
      <c r="A69" s="15" t="s">
        <v>62</v>
      </c>
      <c r="B69" s="15">
        <f>62*0.75</f>
        <v>46.5</v>
      </c>
      <c r="C69" s="15">
        <v>47</v>
      </c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</row>
    <row r="70" spans="1:16" x14ac:dyDescent="0.3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</row>
    <row r="71" spans="1:16" x14ac:dyDescent="0.3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</row>
    <row r="72" spans="1:16" x14ac:dyDescent="0.3">
      <c r="A72" s="15"/>
      <c r="B72" s="15" t="s">
        <v>63</v>
      </c>
      <c r="C72" s="35">
        <f>F8*B65*(1-B65/F6)</f>
        <v>87.125402299536859</v>
      </c>
      <c r="D72" s="15" t="s">
        <v>100</v>
      </c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</row>
    <row r="73" spans="1:16" x14ac:dyDescent="0.3">
      <c r="A73" s="15"/>
      <c r="B73" s="15" t="s">
        <v>64</v>
      </c>
      <c r="C73" s="39">
        <f>C72/B65</f>
        <v>2.0561439538004131E-3</v>
      </c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</row>
    <row r="74" spans="1:16" x14ac:dyDescent="0.3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</row>
    <row r="75" spans="1:16" x14ac:dyDescent="0.3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</row>
    <row r="76" spans="1:16" x14ac:dyDescent="0.3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</row>
    <row r="77" spans="1:16" x14ac:dyDescent="0.3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</row>
    <row r="78" spans="1:16" x14ac:dyDescent="0.3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</row>
    <row r="79" spans="1:16" x14ac:dyDescent="0.3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</row>
    <row r="80" spans="1:16" x14ac:dyDescent="0.3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</row>
    <row r="81" spans="1:16" x14ac:dyDescent="0.3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</row>
    <row r="82" spans="1:16" x14ac:dyDescent="0.3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</row>
    <row r="83" spans="1:16" x14ac:dyDescent="0.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</row>
    <row r="84" spans="1:16" x14ac:dyDescent="0.3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</row>
    <row r="85" spans="1:16" x14ac:dyDescent="0.3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</row>
    <row r="86" spans="1:16" x14ac:dyDescent="0.3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</row>
    <row r="87" spans="1:16" x14ac:dyDescent="0.3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</row>
    <row r="88" spans="1:16" x14ac:dyDescent="0.3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</row>
    <row r="89" spans="1:16" x14ac:dyDescent="0.3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</row>
    <row r="90" spans="1:16" x14ac:dyDescent="0.3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</row>
    <row r="91" spans="1:16" x14ac:dyDescent="0.3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</row>
    <row r="92" spans="1:16" x14ac:dyDescent="0.3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</row>
    <row r="93" spans="1:16" x14ac:dyDescent="0.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</row>
    <row r="94" spans="1:16" x14ac:dyDescent="0.3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</row>
    <row r="95" spans="1:16" x14ac:dyDescent="0.3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</row>
    <row r="96" spans="1:16" x14ac:dyDescent="0.3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</row>
    <row r="97" spans="1:16" x14ac:dyDescent="0.3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</row>
    <row r="98" spans="1:16" x14ac:dyDescent="0.3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</row>
    <row r="99" spans="1:16" x14ac:dyDescent="0.3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</row>
    <row r="100" spans="1:16" x14ac:dyDescent="0.3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</row>
    <row r="101" spans="1:16" x14ac:dyDescent="0.3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</row>
    <row r="102" spans="1:16" x14ac:dyDescent="0.3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</row>
    <row r="103" spans="1:16" x14ac:dyDescent="0.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</row>
    <row r="104" spans="1:16" x14ac:dyDescent="0.3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</row>
    <row r="105" spans="1:16" x14ac:dyDescent="0.3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</row>
    <row r="106" spans="1:16" x14ac:dyDescent="0.3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</row>
    <row r="107" spans="1:16" x14ac:dyDescent="0.3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</row>
    <row r="108" spans="1:16" x14ac:dyDescent="0.3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</row>
    <row r="109" spans="1:16" x14ac:dyDescent="0.3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</row>
    <row r="110" spans="1:16" x14ac:dyDescent="0.3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</row>
    <row r="111" spans="1:16" x14ac:dyDescent="0.3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</row>
    <row r="112" spans="1:16" x14ac:dyDescent="0.3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</row>
    <row r="113" spans="1:16" x14ac:dyDescent="0.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</row>
    <row r="114" spans="1:16" x14ac:dyDescent="0.3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</row>
    <row r="115" spans="1:16" x14ac:dyDescent="0.3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</row>
    <row r="116" spans="1:16" x14ac:dyDescent="0.3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</row>
    <row r="117" spans="1:16" x14ac:dyDescent="0.3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</row>
    <row r="118" spans="1:16" x14ac:dyDescent="0.3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</row>
    <row r="119" spans="1:16" x14ac:dyDescent="0.3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</row>
    <row r="120" spans="1:16" x14ac:dyDescent="0.3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</row>
    <row r="121" spans="1:16" x14ac:dyDescent="0.3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</row>
    <row r="122" spans="1:16" x14ac:dyDescent="0.3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</row>
    <row r="123" spans="1:16" x14ac:dyDescent="0.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</row>
    <row r="124" spans="1:16" x14ac:dyDescent="0.3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</row>
    <row r="125" spans="1:16" x14ac:dyDescent="0.3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</row>
    <row r="126" spans="1:16" x14ac:dyDescent="0.3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</row>
    <row r="127" spans="1:16" x14ac:dyDescent="0.3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</row>
    <row r="128" spans="1:16" x14ac:dyDescent="0.3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</row>
    <row r="129" spans="1:16" x14ac:dyDescent="0.3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</row>
    <row r="130" spans="1:16" x14ac:dyDescent="0.3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</row>
    <row r="131" spans="1:16" x14ac:dyDescent="0.3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</row>
    <row r="132" spans="1:16" x14ac:dyDescent="0.3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</row>
    <row r="133" spans="1:16" x14ac:dyDescent="0.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</row>
    <row r="134" spans="1:16" x14ac:dyDescent="0.3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</row>
    <row r="135" spans="1:16" x14ac:dyDescent="0.3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</row>
    <row r="136" spans="1:16" x14ac:dyDescent="0.3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</row>
    <row r="137" spans="1:16" x14ac:dyDescent="0.3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</row>
    <row r="138" spans="1:16" x14ac:dyDescent="0.3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</row>
    <row r="139" spans="1:16" x14ac:dyDescent="0.3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</row>
    <row r="140" spans="1:16" x14ac:dyDescent="0.3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</row>
    <row r="141" spans="1:16" x14ac:dyDescent="0.3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</row>
    <row r="142" spans="1:16" x14ac:dyDescent="0.3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</row>
    <row r="143" spans="1:16" x14ac:dyDescent="0.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</row>
    <row r="144" spans="1:16" x14ac:dyDescent="0.3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</row>
    <row r="145" spans="1:16" x14ac:dyDescent="0.3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</row>
    <row r="146" spans="1:16" x14ac:dyDescent="0.3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</row>
    <row r="147" spans="1:16" x14ac:dyDescent="0.3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</row>
    <row r="148" spans="1:16" x14ac:dyDescent="0.3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</row>
    <row r="149" spans="1:16" x14ac:dyDescent="0.3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</row>
    <row r="150" spans="1:16" x14ac:dyDescent="0.3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</row>
    <row r="151" spans="1:16" x14ac:dyDescent="0.3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</row>
    <row r="152" spans="1:16" x14ac:dyDescent="0.3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</row>
    <row r="153" spans="1:16" x14ac:dyDescent="0.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</row>
    <row r="154" spans="1:16" x14ac:dyDescent="0.3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</row>
    <row r="155" spans="1:16" x14ac:dyDescent="0.3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</row>
    <row r="156" spans="1:16" x14ac:dyDescent="0.3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</row>
    <row r="157" spans="1:16" x14ac:dyDescent="0.3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</row>
    <row r="158" spans="1:16" x14ac:dyDescent="0.3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</row>
    <row r="159" spans="1:16" x14ac:dyDescent="0.3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</row>
    <row r="160" spans="1:16" x14ac:dyDescent="0.3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</row>
    <row r="161" spans="1:16" x14ac:dyDescent="0.3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5EDA4-8D45-479C-9CFE-88556DEDA72C}">
  <dimension ref="A1:BM95"/>
  <sheetViews>
    <sheetView topLeftCell="A70" zoomScaleNormal="100" workbookViewId="0">
      <selection activeCell="B65" sqref="B65"/>
    </sheetView>
  </sheetViews>
  <sheetFormatPr defaultRowHeight="14.4" x14ac:dyDescent="0.3"/>
  <cols>
    <col min="1" max="1" width="7" bestFit="1" customWidth="1"/>
    <col min="2" max="2" width="9" bestFit="1" customWidth="1"/>
    <col min="3" max="3" width="6.5546875" bestFit="1" customWidth="1"/>
    <col min="4" max="4" width="13.33203125" customWidth="1"/>
    <col min="5" max="5" width="16" customWidth="1"/>
    <col min="6" max="6" width="14.109375" customWidth="1"/>
    <col min="7" max="7" width="12.6640625" bestFit="1" customWidth="1"/>
    <col min="8" max="8" width="23.77734375" customWidth="1"/>
    <col min="9" max="9" width="15.88671875" customWidth="1"/>
    <col min="10" max="10" width="16.88671875" customWidth="1"/>
    <col min="11" max="11" width="14.21875" bestFit="1" customWidth="1"/>
    <col min="12" max="12" width="5.6640625" customWidth="1"/>
    <col min="13" max="13" width="6.21875" customWidth="1"/>
    <col min="14" max="14" width="6.77734375" customWidth="1"/>
    <col min="15" max="15" width="12.6640625" bestFit="1" customWidth="1"/>
    <col min="16" max="16" width="16.33203125" customWidth="1"/>
    <col min="17" max="17" width="8.33203125" customWidth="1"/>
    <col min="18" max="36" width="3" bestFit="1" customWidth="1"/>
    <col min="37" max="37" width="3.33203125" customWidth="1"/>
    <col min="38" max="65" width="3" bestFit="1" customWidth="1"/>
  </cols>
  <sheetData>
    <row r="1" spans="1:16" x14ac:dyDescent="0.3">
      <c r="A1" t="s">
        <v>0</v>
      </c>
      <c r="B1" t="s">
        <v>1</v>
      </c>
      <c r="E1" t="s">
        <v>50</v>
      </c>
      <c r="F1" t="s">
        <v>13</v>
      </c>
      <c r="G1" t="s">
        <v>14</v>
      </c>
      <c r="H1" t="s">
        <v>15</v>
      </c>
      <c r="J1" t="s">
        <v>2</v>
      </c>
      <c r="K1" t="s">
        <v>3</v>
      </c>
      <c r="O1" t="s">
        <v>4</v>
      </c>
    </row>
    <row r="2" spans="1:16" x14ac:dyDescent="0.3">
      <c r="A2">
        <v>2010.1</v>
      </c>
      <c r="B2" s="6">
        <v>48489.7</v>
      </c>
      <c r="C2" s="1"/>
      <c r="D2" s="2">
        <v>1</v>
      </c>
      <c r="E2" s="2">
        <v>2</v>
      </c>
      <c r="F2" s="1">
        <f>EXP($D$80)*E2^$D$81</f>
        <v>42369.871296640609</v>
      </c>
      <c r="G2" s="1">
        <f t="shared" ref="G2:G63" si="0">B2-F2</f>
        <v>6119.8287033593879</v>
      </c>
      <c r="H2" s="1">
        <f t="shared" ref="H2:H63" si="1">G2^2</f>
        <v>37452303.358461447</v>
      </c>
      <c r="I2" s="1"/>
      <c r="O2" t="s">
        <v>5</v>
      </c>
      <c r="P2" t="s">
        <v>6</v>
      </c>
    </row>
    <row r="3" spans="1:16" x14ac:dyDescent="0.3">
      <c r="A3">
        <v>2010.2</v>
      </c>
      <c r="B3" s="6">
        <v>49856.6</v>
      </c>
      <c r="C3" s="1"/>
      <c r="D3" s="2">
        <v>1</v>
      </c>
      <c r="E3" s="2">
        <v>3</v>
      </c>
      <c r="F3" s="1">
        <f t="shared" ref="F3:F63" si="2">EXP($D$80)*E3^$D$81</f>
        <v>42320.416326499733</v>
      </c>
      <c r="G3" s="1">
        <f t="shared" si="0"/>
        <v>7536.1836735002653</v>
      </c>
      <c r="H3" s="1">
        <f t="shared" si="1"/>
        <v>56794064.360731952</v>
      </c>
      <c r="I3" s="1"/>
      <c r="J3">
        <f t="shared" ref="J3:J63" si="3">B3-B2</f>
        <v>1366.9000000000015</v>
      </c>
      <c r="K3">
        <f>J3-$P$4</f>
        <v>-1539.2152083333322</v>
      </c>
      <c r="N3" t="s">
        <v>7</v>
      </c>
      <c r="O3">
        <f>AVERAGE(J6,J10,,J14,J18,J22,J26,J30,J34,J38,J42,J46,J50,J54,J58,J62)</f>
        <v>-3779.1374999999998</v>
      </c>
      <c r="P3">
        <f>O3-$O$8</f>
        <v>-3840.2972916666668</v>
      </c>
    </row>
    <row r="4" spans="1:16" x14ac:dyDescent="0.3">
      <c r="A4">
        <v>2010.3</v>
      </c>
      <c r="B4" s="6">
        <v>48755.4</v>
      </c>
      <c r="C4" s="1"/>
      <c r="D4" s="2">
        <v>1</v>
      </c>
      <c r="E4" s="2">
        <v>4</v>
      </c>
      <c r="F4" s="1">
        <f t="shared" si="2"/>
        <v>42285.362478466035</v>
      </c>
      <c r="G4" s="1">
        <f t="shared" si="0"/>
        <v>6470.0375215339664</v>
      </c>
      <c r="H4" s="1">
        <f t="shared" si="1"/>
        <v>41861385.530057393</v>
      </c>
      <c r="I4" s="1"/>
      <c r="J4">
        <f t="shared" si="3"/>
        <v>-1101.1999999999971</v>
      </c>
      <c r="K4">
        <f>J4-$P$5</f>
        <v>-3408.6152083333309</v>
      </c>
      <c r="N4" t="s">
        <v>8</v>
      </c>
      <c r="O4">
        <f>AVERAGE(J3,J7,J11,J15,J19,J23,J27,J31,J35,J39,J43,J47,J51,J55,J59,J63)</f>
        <v>2967.2750000000001</v>
      </c>
      <c r="P4">
        <f t="shared" ref="P4:P6" si="4">O4-$O$8</f>
        <v>2906.1152083333336</v>
      </c>
    </row>
    <row r="5" spans="1:16" x14ac:dyDescent="0.3">
      <c r="A5">
        <v>2010.4</v>
      </c>
      <c r="B5" s="6">
        <v>50094</v>
      </c>
      <c r="C5" s="1"/>
      <c r="D5" s="2">
        <v>1</v>
      </c>
      <c r="E5" s="2">
        <v>5</v>
      </c>
      <c r="F5" s="1">
        <f t="shared" si="2"/>
        <v>42258.192597868954</v>
      </c>
      <c r="G5" s="1">
        <f t="shared" si="0"/>
        <v>7835.8074021310458</v>
      </c>
      <c r="H5" s="1">
        <f t="shared" si="1"/>
        <v>61399877.643291689</v>
      </c>
      <c r="I5" s="1"/>
      <c r="J5">
        <f t="shared" si="3"/>
        <v>1338.5999999999985</v>
      </c>
      <c r="K5">
        <f>J5-$P$6</f>
        <v>2711.8331249999992</v>
      </c>
      <c r="N5" t="s">
        <v>9</v>
      </c>
      <c r="O5">
        <f>AVERAGE(J4,J8,J12,,J16,J20,J24,J28,J32,J36,J40,J44,J48,J52,J56,J60)</f>
        <v>2368.5750000000007</v>
      </c>
      <c r="P5">
        <f t="shared" si="4"/>
        <v>2307.4152083333338</v>
      </c>
    </row>
    <row r="6" spans="1:16" x14ac:dyDescent="0.3">
      <c r="A6">
        <v>2011.1</v>
      </c>
      <c r="B6" s="6">
        <v>43083.6</v>
      </c>
      <c r="C6" s="1"/>
      <c r="D6" s="2">
        <v>1</v>
      </c>
      <c r="E6" s="2">
        <v>6</v>
      </c>
      <c r="F6" s="1">
        <f t="shared" si="2"/>
        <v>42236.006148725784</v>
      </c>
      <c r="G6" s="1">
        <f t="shared" si="0"/>
        <v>847.5938512742141</v>
      </c>
      <c r="H6" s="1">
        <f t="shared" si="1"/>
        <v>718415.3367178546</v>
      </c>
      <c r="I6" s="1"/>
      <c r="J6">
        <f t="shared" si="3"/>
        <v>-7010.4000000000015</v>
      </c>
      <c r="K6">
        <f>J6-$P$3</f>
        <v>-3170.1027083333347</v>
      </c>
      <c r="N6" t="s">
        <v>10</v>
      </c>
      <c r="O6">
        <f>AVERAGE(J5,J9,J13,J17,J21,J25,J29,J33,J37,J41,J45,J49,J53,J57,J61)</f>
        <v>-1312.0733333333342</v>
      </c>
      <c r="P6">
        <f t="shared" si="4"/>
        <v>-1373.2331250000009</v>
      </c>
    </row>
    <row r="7" spans="1:16" x14ac:dyDescent="0.3">
      <c r="A7">
        <v>2011.2</v>
      </c>
      <c r="B7" s="6">
        <v>45650.8</v>
      </c>
      <c r="C7" s="1"/>
      <c r="D7" s="2">
        <v>1</v>
      </c>
      <c r="E7" s="2">
        <v>7</v>
      </c>
      <c r="F7" s="1">
        <f t="shared" si="2"/>
        <v>42217.256861189177</v>
      </c>
      <c r="G7" s="1">
        <f t="shared" si="0"/>
        <v>3433.5431388108263</v>
      </c>
      <c r="H7" s="1">
        <f t="shared" si="1"/>
        <v>11789218.486074902</v>
      </c>
      <c r="I7" s="1"/>
      <c r="J7">
        <f t="shared" si="3"/>
        <v>2567.2000000000044</v>
      </c>
      <c r="K7">
        <f>J7-$P$4</f>
        <v>-338.91520833332925</v>
      </c>
    </row>
    <row r="8" spans="1:16" x14ac:dyDescent="0.3">
      <c r="A8">
        <v>2011.3</v>
      </c>
      <c r="B8" s="6">
        <v>45345</v>
      </c>
      <c r="C8" s="1"/>
      <c r="D8" s="2">
        <v>1</v>
      </c>
      <c r="E8" s="2">
        <v>8</v>
      </c>
      <c r="F8" s="1">
        <f t="shared" si="2"/>
        <v>42201.022217337559</v>
      </c>
      <c r="G8" s="1">
        <f t="shared" si="0"/>
        <v>3143.9777826624413</v>
      </c>
      <c r="H8" s="1">
        <f t="shared" si="1"/>
        <v>9884596.2978750411</v>
      </c>
      <c r="I8" s="1"/>
      <c r="J8">
        <f t="shared" si="3"/>
        <v>-305.80000000000291</v>
      </c>
      <c r="K8">
        <f>J8-$P$5</f>
        <v>-2613.2152083333367</v>
      </c>
      <c r="O8">
        <f>AVERAGE(O3:O6)</f>
        <v>61.159791666666706</v>
      </c>
      <c r="P8">
        <f>SUM(P3:P6)</f>
        <v>0</v>
      </c>
    </row>
    <row r="9" spans="1:16" x14ac:dyDescent="0.3">
      <c r="A9">
        <v>2011.4</v>
      </c>
      <c r="B9" s="6">
        <v>44267.9</v>
      </c>
      <c r="C9" s="1"/>
      <c r="D9" s="2">
        <v>1</v>
      </c>
      <c r="E9" s="2">
        <v>9</v>
      </c>
      <c r="F9" s="1">
        <f t="shared" si="2"/>
        <v>42186.707428691188</v>
      </c>
      <c r="G9" s="1">
        <f t="shared" si="0"/>
        <v>2081.1925713088131</v>
      </c>
      <c r="H9" s="1">
        <f t="shared" si="1"/>
        <v>4331362.5188709889</v>
      </c>
      <c r="I9" s="1"/>
      <c r="J9">
        <f t="shared" si="3"/>
        <v>-1077.0999999999985</v>
      </c>
      <c r="K9">
        <f>J9-$P$6</f>
        <v>296.13312500000234</v>
      </c>
    </row>
    <row r="10" spans="1:16" x14ac:dyDescent="0.3">
      <c r="A10">
        <v>2012.1</v>
      </c>
      <c r="B10" s="6">
        <v>39075.199999999997</v>
      </c>
      <c r="C10" s="1"/>
      <c r="D10" s="2">
        <v>1</v>
      </c>
      <c r="E10" s="2">
        <v>10</v>
      </c>
      <c r="F10" s="1">
        <f t="shared" si="2"/>
        <v>42173.906528420302</v>
      </c>
      <c r="G10" s="1">
        <f t="shared" si="0"/>
        <v>-3098.7065284203054</v>
      </c>
      <c r="H10" s="1">
        <f t="shared" si="1"/>
        <v>9601982.1492746212</v>
      </c>
      <c r="I10" s="1"/>
      <c r="J10">
        <f t="shared" si="3"/>
        <v>-5192.7000000000044</v>
      </c>
      <c r="K10">
        <f t="shared" ref="K10" si="5">J10-$P$3</f>
        <v>-1352.4027083333376</v>
      </c>
    </row>
    <row r="11" spans="1:16" x14ac:dyDescent="0.3">
      <c r="A11">
        <v>2012.2</v>
      </c>
      <c r="B11" s="6">
        <v>41223.800000000003</v>
      </c>
      <c r="C11" s="1"/>
      <c r="D11" s="2">
        <v>1</v>
      </c>
      <c r="E11" s="2">
        <v>11</v>
      </c>
      <c r="F11" s="1">
        <f t="shared" si="2"/>
        <v>42162.330051735204</v>
      </c>
      <c r="G11" s="1">
        <f t="shared" si="0"/>
        <v>-938.53005173520069</v>
      </c>
      <c r="H11" s="1">
        <f t="shared" si="1"/>
        <v>880838.65801007848</v>
      </c>
      <c r="I11" s="1"/>
      <c r="J11">
        <f t="shared" si="3"/>
        <v>2148.6000000000058</v>
      </c>
      <c r="K11">
        <f t="shared" ref="K11" si="6">J11-$P$4</f>
        <v>-757.51520833332779</v>
      </c>
    </row>
    <row r="12" spans="1:16" x14ac:dyDescent="0.3">
      <c r="A12">
        <v>2012.3</v>
      </c>
      <c r="B12" s="6">
        <v>41766.800000000003</v>
      </c>
      <c r="C12" s="1"/>
      <c r="D12" s="2">
        <v>1</v>
      </c>
      <c r="E12" s="2">
        <v>12</v>
      </c>
      <c r="F12" s="1">
        <f t="shared" si="2"/>
        <v>42151.764331254752</v>
      </c>
      <c r="G12" s="1">
        <f t="shared" si="0"/>
        <v>-384.96433125474869</v>
      </c>
      <c r="H12" s="1">
        <f t="shared" si="1"/>
        <v>148197.53633841587</v>
      </c>
      <c r="I12" s="1"/>
      <c r="J12">
        <f t="shared" si="3"/>
        <v>543</v>
      </c>
      <c r="K12">
        <f t="shared" ref="K12" si="7">J12-$P$5</f>
        <v>-1764.4152083333338</v>
      </c>
    </row>
    <row r="13" spans="1:16" x14ac:dyDescent="0.3">
      <c r="A13">
        <v>2012.4</v>
      </c>
      <c r="B13" s="6">
        <v>41700.400000000001</v>
      </c>
      <c r="C13" s="1"/>
      <c r="D13" s="2">
        <v>1</v>
      </c>
      <c r="E13" s="2">
        <v>13</v>
      </c>
      <c r="F13" s="1">
        <f t="shared" si="2"/>
        <v>42142.047148755999</v>
      </c>
      <c r="G13" s="1">
        <f t="shared" si="0"/>
        <v>-441.64714875599748</v>
      </c>
      <c r="H13" s="1">
        <f t="shared" si="1"/>
        <v>195052.20400430216</v>
      </c>
      <c r="I13" s="1"/>
      <c r="J13">
        <f t="shared" si="3"/>
        <v>-66.400000000001455</v>
      </c>
      <c r="K13">
        <f t="shared" ref="K13" si="8">J13-$P$6</f>
        <v>1306.8331249999994</v>
      </c>
    </row>
    <row r="14" spans="1:16" x14ac:dyDescent="0.3">
      <c r="A14">
        <v>2013.1</v>
      </c>
      <c r="B14" s="6">
        <v>36810.699999999997</v>
      </c>
      <c r="C14" s="1"/>
      <c r="D14" s="2">
        <v>1</v>
      </c>
      <c r="E14" s="2">
        <v>14</v>
      </c>
      <c r="F14" s="1">
        <f t="shared" si="2"/>
        <v>42133.052440105785</v>
      </c>
      <c r="G14" s="1">
        <f t="shared" si="0"/>
        <v>-5322.3524401057875</v>
      </c>
      <c r="H14" s="1">
        <f t="shared" si="1"/>
        <v>28327435.49670003</v>
      </c>
      <c r="I14" s="1"/>
      <c r="J14">
        <f t="shared" si="3"/>
        <v>-4889.7000000000044</v>
      </c>
      <c r="K14">
        <f t="shared" ref="K14" si="9">J14-$P$3</f>
        <v>-1049.4027083333376</v>
      </c>
    </row>
    <row r="15" spans="1:16" x14ac:dyDescent="0.3">
      <c r="A15">
        <v>2013.2</v>
      </c>
      <c r="B15" s="6">
        <v>39772.1</v>
      </c>
      <c r="C15" s="1"/>
      <c r="D15" s="2">
        <v>1</v>
      </c>
      <c r="E15" s="2">
        <v>15</v>
      </c>
      <c r="F15" s="1">
        <f t="shared" si="2"/>
        <v>42124.680292317651</v>
      </c>
      <c r="G15" s="1">
        <f t="shared" si="0"/>
        <v>-2352.5802923176525</v>
      </c>
      <c r="H15" s="1">
        <f t="shared" si="1"/>
        <v>5534634.031801411</v>
      </c>
      <c r="I15" s="1"/>
      <c r="J15">
        <f t="shared" si="3"/>
        <v>2961.4000000000015</v>
      </c>
      <c r="K15">
        <f t="shared" ref="K15" si="10">J15-$P$4</f>
        <v>55.284791666667843</v>
      </c>
    </row>
    <row r="16" spans="1:16" x14ac:dyDescent="0.3">
      <c r="A16">
        <v>2013.3</v>
      </c>
      <c r="B16" s="6">
        <v>40769.199999999997</v>
      </c>
      <c r="C16" s="1"/>
      <c r="D16" s="2">
        <v>1</v>
      </c>
      <c r="E16" s="2">
        <v>16</v>
      </c>
      <c r="F16" s="1">
        <f t="shared" si="2"/>
        <v>42116.850177059765</v>
      </c>
      <c r="G16" s="1">
        <f t="shared" si="0"/>
        <v>-1347.6501770597679</v>
      </c>
      <c r="H16" s="1">
        <f t="shared" si="1"/>
        <v>1816160.9997292238</v>
      </c>
      <c r="I16" s="1"/>
      <c r="J16">
        <f t="shared" si="3"/>
        <v>997.09999999999854</v>
      </c>
      <c r="K16">
        <f t="shared" ref="K16" si="11">J16-$P$5</f>
        <v>-1310.3152083333352</v>
      </c>
    </row>
    <row r="17" spans="1:11" x14ac:dyDescent="0.3">
      <c r="A17">
        <v>2013.4</v>
      </c>
      <c r="B17" s="6">
        <v>40443.199999999997</v>
      </c>
      <c r="C17" s="1"/>
      <c r="D17" s="2">
        <v>1</v>
      </c>
      <c r="E17" s="2">
        <v>17</v>
      </c>
      <c r="F17" s="1">
        <f t="shared" si="2"/>
        <v>42109.496240115812</v>
      </c>
      <c r="G17" s="1">
        <f t="shared" si="0"/>
        <v>-1666.2962401158147</v>
      </c>
      <c r="H17" s="1">
        <f t="shared" si="1"/>
        <v>2776543.1598241008</v>
      </c>
      <c r="I17" s="1"/>
      <c r="J17">
        <f t="shared" si="3"/>
        <v>-326</v>
      </c>
      <c r="K17">
        <f t="shared" ref="K17" si="12">J17-$P$6</f>
        <v>1047.2331250000009</v>
      </c>
    </row>
    <row r="18" spans="1:11" x14ac:dyDescent="0.3">
      <c r="A18">
        <v>2014.1</v>
      </c>
      <c r="B18" s="6">
        <v>36236.6</v>
      </c>
      <c r="C18" s="1"/>
      <c r="D18" s="2">
        <v>1</v>
      </c>
      <c r="E18" s="2">
        <v>18</v>
      </c>
      <c r="F18" s="1">
        <f t="shared" si="2"/>
        <v>42102.563939972177</v>
      </c>
      <c r="G18" s="1">
        <f t="shared" si="0"/>
        <v>-5865.9639399721782</v>
      </c>
      <c r="H18" s="1">
        <f t="shared" si="1"/>
        <v>34409532.94505392</v>
      </c>
      <c r="I18" s="1"/>
      <c r="J18">
        <f t="shared" si="3"/>
        <v>-4206.5999999999985</v>
      </c>
      <c r="K18">
        <f t="shared" ref="K18" si="13">J18-$P$3</f>
        <v>-366.30270833333179</v>
      </c>
    </row>
    <row r="19" spans="1:11" x14ac:dyDescent="0.3">
      <c r="A19">
        <v>2014.2</v>
      </c>
      <c r="B19" s="6">
        <v>38745.9</v>
      </c>
      <c r="C19" s="1"/>
      <c r="D19" s="2">
        <v>1</v>
      </c>
      <c r="E19" s="2">
        <v>19</v>
      </c>
      <c r="F19" s="1">
        <f t="shared" si="2"/>
        <v>42096.007596897354</v>
      </c>
      <c r="G19" s="1">
        <f t="shared" si="0"/>
        <v>-3350.1075968973528</v>
      </c>
      <c r="H19" s="1">
        <f t="shared" si="1"/>
        <v>11223220.910789356</v>
      </c>
      <c r="I19" s="1"/>
      <c r="J19">
        <f t="shared" si="3"/>
        <v>2509.3000000000029</v>
      </c>
      <c r="K19">
        <f t="shared" ref="K19" si="14">J19-$P$4</f>
        <v>-396.8152083333307</v>
      </c>
    </row>
    <row r="20" spans="1:11" x14ac:dyDescent="0.3">
      <c r="A20">
        <v>2014.3</v>
      </c>
      <c r="B20" s="6">
        <v>40325.300000000003</v>
      </c>
      <c r="C20" s="1"/>
      <c r="D20" s="2">
        <v>1</v>
      </c>
      <c r="E20" s="2">
        <v>20</v>
      </c>
      <c r="F20" s="1">
        <f t="shared" si="2"/>
        <v>42089.788571734309</v>
      </c>
      <c r="G20" s="1">
        <f t="shared" si="0"/>
        <v>-1764.4885717343059</v>
      </c>
      <c r="H20" s="1">
        <f t="shared" si="1"/>
        <v>3113419.9197809706</v>
      </c>
      <c r="I20" s="1"/>
      <c r="J20">
        <f t="shared" si="3"/>
        <v>1579.4000000000015</v>
      </c>
      <c r="K20">
        <f t="shared" ref="K20" si="15">J20-$P$5</f>
        <v>-728.01520833333234</v>
      </c>
    </row>
    <row r="21" spans="1:11" x14ac:dyDescent="0.3">
      <c r="A21">
        <v>2014.4</v>
      </c>
      <c r="B21" s="6">
        <v>40047.5</v>
      </c>
      <c r="C21" s="1"/>
      <c r="D21" s="2">
        <v>1</v>
      </c>
      <c r="E21" s="2">
        <v>21</v>
      </c>
      <c r="F21" s="1">
        <f t="shared" si="2"/>
        <v>42083.873889720751</v>
      </c>
      <c r="G21" s="1">
        <f t="shared" si="0"/>
        <v>-2036.3738897207513</v>
      </c>
      <c r="H21" s="1">
        <f t="shared" si="1"/>
        <v>4146818.6187364226</v>
      </c>
      <c r="I21" s="1"/>
      <c r="J21">
        <f t="shared" si="3"/>
        <v>-277.80000000000291</v>
      </c>
      <c r="K21">
        <f t="shared" ref="K21" si="16">J21-$P$6</f>
        <v>1095.433124999998</v>
      </c>
    </row>
    <row r="22" spans="1:11" x14ac:dyDescent="0.3">
      <c r="A22">
        <v>2015.1</v>
      </c>
      <c r="B22" s="6">
        <v>36268.1</v>
      </c>
      <c r="C22" s="1"/>
      <c r="D22" s="2">
        <v>1</v>
      </c>
      <c r="E22" s="2">
        <v>22</v>
      </c>
      <c r="F22" s="1">
        <f t="shared" si="2"/>
        <v>42078.23518490843</v>
      </c>
      <c r="G22" s="1">
        <f t="shared" si="0"/>
        <v>-5810.1351849084313</v>
      </c>
      <c r="H22" s="1">
        <f t="shared" si="1"/>
        <v>33757670.866910927</v>
      </c>
      <c r="I22" s="1"/>
      <c r="J22">
        <f t="shared" si="3"/>
        <v>-3779.4000000000015</v>
      </c>
      <c r="K22">
        <f t="shared" ref="K22" si="17">J22-$P$3</f>
        <v>60.897291666665296</v>
      </c>
    </row>
    <row r="23" spans="1:11" x14ac:dyDescent="0.3">
      <c r="A23">
        <v>2015.2</v>
      </c>
      <c r="B23" s="6">
        <v>38729.1</v>
      </c>
      <c r="C23" s="1"/>
      <c r="D23" s="2">
        <v>1</v>
      </c>
      <c r="E23" s="2">
        <v>23</v>
      </c>
      <c r="F23" s="1">
        <f t="shared" si="2"/>
        <v>42072.847879538196</v>
      </c>
      <c r="G23" s="1">
        <f t="shared" si="0"/>
        <v>-3343.7478795381976</v>
      </c>
      <c r="H23" s="1">
        <f t="shared" si="1"/>
        <v>11180649.881916193</v>
      </c>
      <c r="I23" s="1"/>
      <c r="J23">
        <f t="shared" si="3"/>
        <v>2461</v>
      </c>
      <c r="K23">
        <f t="shared" ref="K23" si="18">J23-$P$4</f>
        <v>-445.11520833333361</v>
      </c>
    </row>
    <row r="24" spans="1:11" x14ac:dyDescent="0.3">
      <c r="A24">
        <v>2015.3</v>
      </c>
      <c r="B24" s="6">
        <v>39614</v>
      </c>
      <c r="C24" s="1"/>
      <c r="D24" s="2">
        <v>1</v>
      </c>
      <c r="E24" s="2">
        <v>24</v>
      </c>
      <c r="F24" s="1">
        <f t="shared" si="2"/>
        <v>42067.690538283627</v>
      </c>
      <c r="G24" s="1">
        <f t="shared" si="0"/>
        <v>-2453.6905382836267</v>
      </c>
      <c r="H24" s="1">
        <f t="shared" si="1"/>
        <v>6020597.2576625934</v>
      </c>
      <c r="I24" s="1"/>
      <c r="J24">
        <f t="shared" si="3"/>
        <v>884.90000000000146</v>
      </c>
      <c r="K24">
        <f t="shared" ref="K24" si="19">J24-$P$5</f>
        <v>-1422.5152083333323</v>
      </c>
    </row>
    <row r="25" spans="1:11" x14ac:dyDescent="0.3">
      <c r="A25">
        <v>2015.4</v>
      </c>
      <c r="B25" s="6">
        <v>40169.5</v>
      </c>
      <c r="C25" s="1"/>
      <c r="D25" s="2">
        <v>1</v>
      </c>
      <c r="E25" s="2">
        <v>25</v>
      </c>
      <c r="F25" s="1">
        <f t="shared" si="2"/>
        <v>42062.744354472779</v>
      </c>
      <c r="G25" s="1">
        <f t="shared" si="0"/>
        <v>-1893.2443544727794</v>
      </c>
      <c r="H25" s="1">
        <f t="shared" si="1"/>
        <v>3584374.1857430511</v>
      </c>
      <c r="I25" s="1"/>
      <c r="J25">
        <f t="shared" si="3"/>
        <v>555.5</v>
      </c>
      <c r="K25">
        <f t="shared" ref="K25" si="20">J25-$P$6</f>
        <v>1928.7331250000009</v>
      </c>
    </row>
    <row r="26" spans="1:11" x14ac:dyDescent="0.3">
      <c r="A26">
        <v>2016.1</v>
      </c>
      <c r="B26" s="6">
        <v>35233.800000000003</v>
      </c>
      <c r="C26" s="1"/>
      <c r="D26" s="2">
        <v>1</v>
      </c>
      <c r="E26" s="2">
        <v>26</v>
      </c>
      <c r="F26" s="1">
        <f t="shared" si="2"/>
        <v>42057.992737189241</v>
      </c>
      <c r="G26" s="1">
        <f t="shared" si="0"/>
        <v>-6824.192737189238</v>
      </c>
      <c r="H26" s="1">
        <f t="shared" si="1"/>
        <v>46569606.514306344</v>
      </c>
      <c r="I26" s="1"/>
      <c r="J26">
        <f t="shared" si="3"/>
        <v>-4935.6999999999971</v>
      </c>
      <c r="K26">
        <f t="shared" ref="K26" si="21">J26-$P$3</f>
        <v>-1095.4027083333303</v>
      </c>
    </row>
    <row r="27" spans="1:11" x14ac:dyDescent="0.3">
      <c r="A27">
        <v>2016.2</v>
      </c>
      <c r="B27" s="6">
        <v>37936</v>
      </c>
      <c r="C27" s="1"/>
      <c r="D27" s="2">
        <v>1</v>
      </c>
      <c r="E27" s="2">
        <v>27</v>
      </c>
      <c r="F27" s="1">
        <f t="shared" si="2"/>
        <v>42053.420976380716</v>
      </c>
      <c r="G27" s="1">
        <f t="shared" si="0"/>
        <v>-4117.4209763807157</v>
      </c>
      <c r="H27" s="1">
        <f t="shared" si="1"/>
        <v>16953155.496739928</v>
      </c>
      <c r="I27" s="1"/>
      <c r="J27">
        <f t="shared" si="3"/>
        <v>2702.1999999999971</v>
      </c>
      <c r="K27">
        <f t="shared" ref="K27" si="22">J27-$P$4</f>
        <v>-203.91520833333652</v>
      </c>
    </row>
    <row r="28" spans="1:11" x14ac:dyDescent="0.3">
      <c r="A28">
        <v>2016.3</v>
      </c>
      <c r="B28" s="6">
        <v>39732</v>
      </c>
      <c r="C28" s="1"/>
      <c r="D28" s="2">
        <v>1</v>
      </c>
      <c r="E28" s="2">
        <v>28</v>
      </c>
      <c r="F28" s="1">
        <f t="shared" si="2"/>
        <v>42049.01596893333</v>
      </c>
      <c r="G28" s="1">
        <f t="shared" si="0"/>
        <v>-2317.0159689333304</v>
      </c>
      <c r="H28" s="1">
        <f t="shared" si="1"/>
        <v>5368563.00029206</v>
      </c>
      <c r="I28" s="1"/>
      <c r="J28">
        <f t="shared" si="3"/>
        <v>1796</v>
      </c>
      <c r="K28">
        <f t="shared" ref="K28" si="23">J28-$P$5</f>
        <v>-511.41520833333379</v>
      </c>
    </row>
    <row r="29" spans="1:11" x14ac:dyDescent="0.3">
      <c r="A29">
        <v>2016.4</v>
      </c>
      <c r="B29" s="6">
        <v>39113.800000000003</v>
      </c>
      <c r="C29" s="1"/>
      <c r="D29" s="2">
        <v>1</v>
      </c>
      <c r="E29" s="2">
        <v>29</v>
      </c>
      <c r="F29" s="1">
        <f t="shared" si="2"/>
        <v>42044.765992860805</v>
      </c>
      <c r="G29" s="1">
        <f t="shared" si="0"/>
        <v>-2930.9659928608016</v>
      </c>
      <c r="H29" s="1">
        <f t="shared" si="1"/>
        <v>8590561.6513065044</v>
      </c>
      <c r="I29" s="1"/>
      <c r="J29">
        <f t="shared" si="3"/>
        <v>-618.19999999999709</v>
      </c>
      <c r="K29">
        <f t="shared" ref="K29" si="24">J29-$P$6</f>
        <v>755.03312500000379</v>
      </c>
    </row>
    <row r="30" spans="1:11" x14ac:dyDescent="0.3">
      <c r="A30">
        <v>2017.1</v>
      </c>
      <c r="B30" s="6">
        <v>35997.300000000003</v>
      </c>
      <c r="C30" s="1"/>
      <c r="D30" s="2">
        <v>1</v>
      </c>
      <c r="E30" s="2">
        <v>30</v>
      </c>
      <c r="F30" s="1">
        <f t="shared" si="2"/>
        <v>42040.660519810874</v>
      </c>
      <c r="G30" s="1">
        <f t="shared" si="0"/>
        <v>-6043.3605198108708</v>
      </c>
      <c r="H30" s="1">
        <f t="shared" si="1"/>
        <v>36522206.372408718</v>
      </c>
      <c r="I30" s="1"/>
      <c r="J30">
        <f t="shared" si="3"/>
        <v>-3116.5</v>
      </c>
      <c r="K30">
        <f t="shared" ref="K30" si="25">J30-$P$3</f>
        <v>723.79729166666675</v>
      </c>
    </row>
    <row r="31" spans="1:11" x14ac:dyDescent="0.3">
      <c r="A31">
        <v>2017.2</v>
      </c>
      <c r="B31" s="6">
        <v>38526.1</v>
      </c>
      <c r="C31" s="1"/>
      <c r="D31" s="2">
        <v>1</v>
      </c>
      <c r="E31" s="2">
        <v>31</v>
      </c>
      <c r="F31" s="1">
        <f t="shared" si="2"/>
        <v>42036.69005834272</v>
      </c>
      <c r="G31" s="1">
        <f t="shared" si="0"/>
        <v>-3510.590058342721</v>
      </c>
      <c r="H31" s="1">
        <f t="shared" si="1"/>
        <v>12324242.55773475</v>
      </c>
      <c r="I31" s="1"/>
      <c r="J31">
        <f t="shared" si="3"/>
        <v>2528.7999999999956</v>
      </c>
      <c r="K31">
        <f t="shared" ref="K31" si="26">J31-$P$4</f>
        <v>-377.31520833333798</v>
      </c>
    </row>
    <row r="32" spans="1:11" x14ac:dyDescent="0.3">
      <c r="A32">
        <v>2017.3</v>
      </c>
      <c r="B32" s="6">
        <v>41277.4</v>
      </c>
      <c r="C32" s="1"/>
      <c r="D32" s="2">
        <v>1</v>
      </c>
      <c r="E32" s="2">
        <v>32</v>
      </c>
      <c r="F32" s="1">
        <f t="shared" si="2"/>
        <v>42032.846022107762</v>
      </c>
      <c r="G32" s="1">
        <f t="shared" si="0"/>
        <v>-755.44602210776065</v>
      </c>
      <c r="H32" s="1">
        <f t="shared" si="1"/>
        <v>570698.69231843925</v>
      </c>
      <c r="I32" s="1"/>
      <c r="J32">
        <f t="shared" si="3"/>
        <v>2751.3000000000029</v>
      </c>
      <c r="K32">
        <f t="shared" ref="K32" si="27">J32-$P$5</f>
        <v>443.88479166666912</v>
      </c>
    </row>
    <row r="33" spans="1:11" x14ac:dyDescent="0.3">
      <c r="A33">
        <v>2017.4</v>
      </c>
      <c r="B33" s="6">
        <v>38981.5</v>
      </c>
      <c r="C33" s="1"/>
      <c r="D33" s="2">
        <v>1</v>
      </c>
      <c r="E33" s="2">
        <v>33</v>
      </c>
      <c r="F33" s="1">
        <f t="shared" si="2"/>
        <v>42029.120618331603</v>
      </c>
      <c r="G33" s="1">
        <f t="shared" si="0"/>
        <v>-3047.6206183316026</v>
      </c>
      <c r="H33" s="1">
        <f t="shared" si="1"/>
        <v>9287991.4332798999</v>
      </c>
      <c r="I33" s="1"/>
      <c r="J33">
        <f t="shared" si="3"/>
        <v>-2295.9000000000015</v>
      </c>
      <c r="K33">
        <f t="shared" ref="K33" si="28">J33-$P$6</f>
        <v>-922.66687500000057</v>
      </c>
    </row>
    <row r="34" spans="1:11" x14ac:dyDescent="0.3">
      <c r="A34">
        <v>2018.1</v>
      </c>
      <c r="B34" s="6">
        <v>36049</v>
      </c>
      <c r="C34" s="1"/>
      <c r="D34" s="2">
        <v>1</v>
      </c>
      <c r="E34" s="2">
        <v>34</v>
      </c>
      <c r="F34" s="1">
        <f t="shared" si="2"/>
        <v>42025.506752957263</v>
      </c>
      <c r="G34" s="1">
        <f t="shared" si="0"/>
        <v>-5976.5067529572625</v>
      </c>
      <c r="H34" s="1">
        <f t="shared" si="1"/>
        <v>35718632.968143761</v>
      </c>
      <c r="I34" s="1"/>
      <c r="J34">
        <f t="shared" si="3"/>
        <v>-2932.5</v>
      </c>
      <c r="K34">
        <f t="shared" ref="K34" si="29">J34-$P$3</f>
        <v>907.79729166666675</v>
      </c>
    </row>
    <row r="35" spans="1:11" x14ac:dyDescent="0.3">
      <c r="A35">
        <v>2018.2</v>
      </c>
      <c r="B35" s="6">
        <v>39184.9</v>
      </c>
      <c r="C35" s="1"/>
      <c r="D35" s="2">
        <v>1</v>
      </c>
      <c r="E35" s="2">
        <v>35</v>
      </c>
      <c r="F35" s="1">
        <f t="shared" si="2"/>
        <v>42021.99794954939</v>
      </c>
      <c r="G35" s="1">
        <f t="shared" si="0"/>
        <v>-2837.0979495493884</v>
      </c>
      <c r="H35" s="1">
        <f t="shared" si="1"/>
        <v>8049124.775337344</v>
      </c>
      <c r="I35" s="1"/>
      <c r="J35">
        <f t="shared" si="3"/>
        <v>3135.9000000000015</v>
      </c>
      <c r="K35">
        <f t="shared" ref="K35" si="30">J35-$P$4</f>
        <v>229.78479166666784</v>
      </c>
    </row>
    <row r="36" spans="1:11" x14ac:dyDescent="0.3">
      <c r="A36">
        <v>2018.3</v>
      </c>
      <c r="B36" s="6">
        <v>41724.6</v>
      </c>
      <c r="C36" s="1"/>
      <c r="D36" s="2">
        <v>1</v>
      </c>
      <c r="E36" s="2">
        <v>36</v>
      </c>
      <c r="F36" s="1">
        <f t="shared" si="2"/>
        <v>42018.588279631462</v>
      </c>
      <c r="G36" s="1">
        <f t="shared" si="0"/>
        <v>-293.98827963146323</v>
      </c>
      <c r="H36" s="1">
        <f t="shared" si="1"/>
        <v>86429.108560667417</v>
      </c>
      <c r="I36" s="1"/>
      <c r="J36">
        <f t="shared" si="3"/>
        <v>2539.6999999999971</v>
      </c>
      <c r="K36">
        <f t="shared" ref="K36" si="31">J36-$P$5</f>
        <v>232.2847916666633</v>
      </c>
    </row>
    <row r="37" spans="1:11" x14ac:dyDescent="0.3">
      <c r="A37">
        <v>2018.4</v>
      </c>
      <c r="B37" s="6">
        <v>39676.400000000001</v>
      </c>
      <c r="C37" s="1"/>
      <c r="D37" s="2">
        <v>1</v>
      </c>
      <c r="E37" s="2">
        <v>37</v>
      </c>
      <c r="F37" s="1">
        <f t="shared" si="2"/>
        <v>42015.27230257474</v>
      </c>
      <c r="G37" s="1">
        <f t="shared" si="0"/>
        <v>-2338.8723025747386</v>
      </c>
      <c r="H37" s="1">
        <f t="shared" si="1"/>
        <v>5470323.6477512596</v>
      </c>
      <c r="I37" s="1"/>
      <c r="J37">
        <f t="shared" si="3"/>
        <v>-2048.1999999999971</v>
      </c>
      <c r="K37">
        <f t="shared" ref="K37" si="32">J37-$P$6</f>
        <v>-674.96687499999621</v>
      </c>
    </row>
    <row r="38" spans="1:11" x14ac:dyDescent="0.3">
      <c r="A38">
        <v>2019.1</v>
      </c>
      <c r="B38" s="6">
        <v>36562.699999999997</v>
      </c>
      <c r="C38" s="1"/>
      <c r="D38" s="2">
        <v>1</v>
      </c>
      <c r="E38" s="2">
        <v>38</v>
      </c>
      <c r="F38" s="1">
        <f t="shared" si="2"/>
        <v>42012.045013509385</v>
      </c>
      <c r="G38" s="1">
        <f t="shared" si="0"/>
        <v>-5449.3450135093881</v>
      </c>
      <c r="H38" s="1">
        <f t="shared" si="1"/>
        <v>29695361.076259632</v>
      </c>
      <c r="I38" s="1"/>
      <c r="J38">
        <f t="shared" si="3"/>
        <v>-3113.7000000000044</v>
      </c>
      <c r="K38">
        <f t="shared" ref="K38" si="33">J38-$P$3</f>
        <v>726.59729166666239</v>
      </c>
    </row>
    <row r="39" spans="1:11" x14ac:dyDescent="0.3">
      <c r="A39">
        <v>2019.2</v>
      </c>
      <c r="B39" s="6">
        <v>40409.9</v>
      </c>
      <c r="C39" s="1"/>
      <c r="D39" s="2">
        <v>1</v>
      </c>
      <c r="E39" s="2">
        <v>39</v>
      </c>
      <c r="F39" s="1">
        <f t="shared" si="2"/>
        <v>42008.901798006525</v>
      </c>
      <c r="G39" s="1">
        <f t="shared" si="0"/>
        <v>-1599.001798006524</v>
      </c>
      <c r="H39" s="1">
        <f t="shared" si="1"/>
        <v>2556806.7500280966</v>
      </c>
      <c r="I39" s="1"/>
      <c r="J39">
        <f t="shared" si="3"/>
        <v>3847.2000000000044</v>
      </c>
      <c r="K39">
        <f t="shared" ref="K39" si="34">J39-$P$4</f>
        <v>941.08479166667075</v>
      </c>
    </row>
    <row r="40" spans="1:11" x14ac:dyDescent="0.3">
      <c r="A40">
        <v>2019.3</v>
      </c>
      <c r="B40" s="6">
        <v>43406.8</v>
      </c>
      <c r="C40" s="1"/>
      <c r="D40" s="2">
        <v>1</v>
      </c>
      <c r="E40" s="2">
        <v>40</v>
      </c>
      <c r="F40" s="1">
        <f t="shared" si="2"/>
        <v>42005.838392501719</v>
      </c>
      <c r="G40" s="1">
        <f t="shared" si="0"/>
        <v>1400.9616074982841</v>
      </c>
      <c r="H40" s="1">
        <f t="shared" si="1"/>
        <v>1962693.4256841764</v>
      </c>
      <c r="I40" s="1"/>
      <c r="J40">
        <f t="shared" si="3"/>
        <v>2996.9000000000015</v>
      </c>
      <c r="K40">
        <f t="shared" ref="K40" si="35">J40-$P$5</f>
        <v>689.48479166666766</v>
      </c>
    </row>
    <row r="41" spans="1:11" x14ac:dyDescent="0.3">
      <c r="A41">
        <v>2019.4</v>
      </c>
      <c r="B41" s="6">
        <v>40353.199999999997</v>
      </c>
      <c r="C41" s="1"/>
      <c r="D41" s="2">
        <v>1</v>
      </c>
      <c r="E41" s="2">
        <v>41</v>
      </c>
      <c r="F41" s="1">
        <f t="shared" si="2"/>
        <v>42002.850849608752</v>
      </c>
      <c r="G41" s="1">
        <f t="shared" si="0"/>
        <v>-1649.6508496087554</v>
      </c>
      <c r="H41" s="1">
        <f t="shared" si="1"/>
        <v>2721347.9256148883</v>
      </c>
      <c r="I41" s="1"/>
      <c r="J41">
        <f t="shared" si="3"/>
        <v>-3053.6000000000058</v>
      </c>
      <c r="K41">
        <f t="shared" ref="K41" si="36">J41-$P$6</f>
        <v>-1680.3668750000049</v>
      </c>
    </row>
    <row r="42" spans="1:11" x14ac:dyDescent="0.3">
      <c r="A42">
        <v>2020.1</v>
      </c>
      <c r="B42" s="6">
        <v>36283.300000000003</v>
      </c>
      <c r="C42" s="1"/>
      <c r="D42" s="2">
        <v>1</v>
      </c>
      <c r="E42" s="2">
        <v>42</v>
      </c>
      <c r="F42" s="1">
        <f t="shared" si="2"/>
        <v>41999.935507615963</v>
      </c>
      <c r="G42" s="1">
        <f t="shared" si="0"/>
        <v>-5716.6355076159598</v>
      </c>
      <c r="H42" s="1">
        <f t="shared" si="1"/>
        <v>32679921.526935581</v>
      </c>
      <c r="I42" s="1"/>
      <c r="J42">
        <f t="shared" si="3"/>
        <v>-4069.8999999999942</v>
      </c>
      <c r="K42">
        <f t="shared" ref="K42" si="37">J42-$P$3</f>
        <v>-229.60270833332743</v>
      </c>
    </row>
    <row r="43" spans="1:11" x14ac:dyDescent="0.3">
      <c r="A43">
        <v>2020.2</v>
      </c>
      <c r="B43" s="6">
        <v>34354.5</v>
      </c>
      <c r="C43" s="1"/>
      <c r="D43" s="2">
        <v>1</v>
      </c>
      <c r="E43" s="2">
        <v>43</v>
      </c>
      <c r="F43" s="1">
        <f t="shared" si="2"/>
        <v>41997.088963574301</v>
      </c>
      <c r="G43" s="1">
        <f t="shared" si="0"/>
        <v>-7642.5889635743006</v>
      </c>
      <c r="H43" s="1">
        <f t="shared" si="1"/>
        <v>58409166.0661477</v>
      </c>
      <c r="I43" s="1"/>
      <c r="J43">
        <f t="shared" si="3"/>
        <v>-1928.8000000000029</v>
      </c>
      <c r="K43">
        <f t="shared" ref="K43" si="38">J43-$P$4</f>
        <v>-4834.9152083333365</v>
      </c>
    </row>
    <row r="44" spans="1:11" x14ac:dyDescent="0.3">
      <c r="A44">
        <v>2020.3</v>
      </c>
      <c r="B44" s="6">
        <v>39026.300000000003</v>
      </c>
      <c r="C44" s="1"/>
      <c r="D44" s="2">
        <v>1</v>
      </c>
      <c r="E44" s="2">
        <v>44</v>
      </c>
      <c r="F44" s="1">
        <f t="shared" si="2"/>
        <v>41994.30804948118</v>
      </c>
      <c r="G44" s="1">
        <f t="shared" si="0"/>
        <v>-2968.0080494811773</v>
      </c>
      <c r="H44" s="1">
        <f t="shared" si="1"/>
        <v>8809071.7817850634</v>
      </c>
      <c r="I44" s="1"/>
      <c r="J44">
        <f t="shared" si="3"/>
        <v>4671.8000000000029</v>
      </c>
      <c r="K44">
        <f t="shared" ref="K44" si="39">J44-$P$5</f>
        <v>2364.3847916666691</v>
      </c>
    </row>
    <row r="45" spans="1:11" x14ac:dyDescent="0.3">
      <c r="A45">
        <v>2020.4</v>
      </c>
      <c r="B45" s="6">
        <v>37572.199999999997</v>
      </c>
      <c r="C45" s="1"/>
      <c r="D45" s="2">
        <v>1</v>
      </c>
      <c r="E45" s="2">
        <v>45</v>
      </c>
      <c r="F45" s="1">
        <f t="shared" si="2"/>
        <v>41991.589811142592</v>
      </c>
      <c r="G45" s="1">
        <f t="shared" si="0"/>
        <v>-4419.3898111425951</v>
      </c>
      <c r="H45" s="1">
        <f t="shared" si="1"/>
        <v>19531006.302830983</v>
      </c>
      <c r="I45" s="1"/>
      <c r="J45">
        <f t="shared" si="3"/>
        <v>-1454.1000000000058</v>
      </c>
      <c r="K45">
        <f t="shared" ref="K45" si="40">J45-$P$6</f>
        <v>-80.866875000004939</v>
      </c>
    </row>
    <row r="46" spans="1:11" x14ac:dyDescent="0.3">
      <c r="A46">
        <v>2021.1</v>
      </c>
      <c r="B46" s="6">
        <v>35500.300000000003</v>
      </c>
      <c r="C46" s="1"/>
      <c r="D46" s="2">
        <v>1</v>
      </c>
      <c r="E46" s="2">
        <v>46</v>
      </c>
      <c r="F46" s="1">
        <f t="shared" si="2"/>
        <v>41988.931489359777</v>
      </c>
      <c r="G46" s="1">
        <f t="shared" si="0"/>
        <v>-6488.6314893597737</v>
      </c>
      <c r="H46" s="1">
        <f t="shared" si="1"/>
        <v>42102338.604711235</v>
      </c>
      <c r="I46" s="1"/>
      <c r="J46">
        <f t="shared" si="3"/>
        <v>-2071.8999999999942</v>
      </c>
      <c r="K46">
        <f t="shared" ref="K46" si="41">J46-$P$3</f>
        <v>1768.3972916666726</v>
      </c>
    </row>
    <row r="47" spans="1:11" x14ac:dyDescent="0.3">
      <c r="A47">
        <v>2021.2</v>
      </c>
      <c r="B47" s="6">
        <v>39015.699999999997</v>
      </c>
      <c r="C47" s="1"/>
      <c r="D47" s="2">
        <v>1</v>
      </c>
      <c r="E47" s="2">
        <v>47</v>
      </c>
      <c r="F47" s="1">
        <f t="shared" si="2"/>
        <v>41986.330503140533</v>
      </c>
      <c r="G47" s="1">
        <f t="shared" si="0"/>
        <v>-2970.6305031405354</v>
      </c>
      <c r="H47" s="1">
        <f t="shared" si="1"/>
        <v>8824645.5861889906</v>
      </c>
      <c r="I47" s="1"/>
      <c r="J47">
        <f t="shared" si="3"/>
        <v>3515.3999999999942</v>
      </c>
      <c r="K47">
        <f t="shared" ref="K47" si="42">J47-$P$4</f>
        <v>609.28479166666057</v>
      </c>
    </row>
    <row r="48" spans="1:11" x14ac:dyDescent="0.3">
      <c r="A48">
        <v>2021.3</v>
      </c>
      <c r="B48" s="6">
        <v>44025.3</v>
      </c>
      <c r="C48" s="1"/>
      <c r="D48" s="2">
        <v>1</v>
      </c>
      <c r="E48" s="2">
        <v>48</v>
      </c>
      <c r="F48" s="1">
        <f t="shared" si="2"/>
        <v>41983.784434679153</v>
      </c>
      <c r="G48" s="1">
        <f t="shared" si="0"/>
        <v>2041.5155653208494</v>
      </c>
      <c r="H48" s="1">
        <f t="shared" si="1"/>
        <v>4167785.8034473076</v>
      </c>
      <c r="I48" s="1"/>
      <c r="J48">
        <f t="shared" si="3"/>
        <v>5009.6000000000058</v>
      </c>
      <c r="K48">
        <f t="shared" ref="K48" si="43">J48-$P$5</f>
        <v>2702.184791666672</v>
      </c>
    </row>
    <row r="49" spans="1:11" x14ac:dyDescent="0.3">
      <c r="A49">
        <v>2021.4</v>
      </c>
      <c r="B49" s="6">
        <v>42474.1</v>
      </c>
      <c r="C49" s="1"/>
      <c r="D49" s="2">
        <v>1</v>
      </c>
      <c r="E49" s="2">
        <v>49</v>
      </c>
      <c r="F49" s="1">
        <f t="shared" si="2"/>
        <v>41981.291015885879</v>
      </c>
      <c r="G49" s="1">
        <f t="shared" si="0"/>
        <v>492.80898411411908</v>
      </c>
      <c r="H49" s="1">
        <f t="shared" si="1"/>
        <v>242860.69482359008</v>
      </c>
      <c r="I49" s="1"/>
      <c r="J49">
        <f t="shared" si="3"/>
        <v>-1551.2000000000044</v>
      </c>
      <c r="K49">
        <f t="shared" ref="K49" si="44">J49-$P$6</f>
        <v>-177.96687500000348</v>
      </c>
    </row>
    <row r="50" spans="1:11" x14ac:dyDescent="0.3">
      <c r="A50">
        <v>2022.1</v>
      </c>
      <c r="B50" s="6">
        <v>40446.6</v>
      </c>
      <c r="C50" s="1"/>
      <c r="D50" s="2">
        <v>1</v>
      </c>
      <c r="E50" s="2">
        <v>50</v>
      </c>
      <c r="F50" s="1">
        <f t="shared" si="2"/>
        <v>41978.848116278234</v>
      </c>
      <c r="G50" s="1">
        <f t="shared" si="0"/>
        <v>-1532.2481162782351</v>
      </c>
      <c r="H50" s="1">
        <f t="shared" si="1"/>
        <v>2347784.2898382</v>
      </c>
      <c r="I50" s="1"/>
      <c r="J50">
        <f t="shared" si="3"/>
        <v>-2027.5</v>
      </c>
      <c r="K50">
        <f t="shared" ref="K50" si="45">J50-$P$3</f>
        <v>1812.7972916666668</v>
      </c>
    </row>
    <row r="51" spans="1:11" x14ac:dyDescent="0.3">
      <c r="A51">
        <v>2022.2</v>
      </c>
      <c r="B51" s="6">
        <v>44851.1</v>
      </c>
      <c r="C51" s="1"/>
      <c r="D51" s="2">
        <v>1</v>
      </c>
      <c r="E51" s="2">
        <v>51</v>
      </c>
      <c r="F51" s="1">
        <f t="shared" si="2"/>
        <v>41976.453732071932</v>
      </c>
      <c r="G51" s="1">
        <f t="shared" si="0"/>
        <v>2874.6462679280667</v>
      </c>
      <c r="H51" s="1">
        <f t="shared" si="1"/>
        <v>8263591.1657127617</v>
      </c>
      <c r="I51" s="1"/>
      <c r="J51">
        <f t="shared" si="3"/>
        <v>4404.5</v>
      </c>
      <c r="K51">
        <f t="shared" ref="K51" si="46">J51-$P$4</f>
        <v>1498.3847916666664</v>
      </c>
    </row>
    <row r="52" spans="1:11" x14ac:dyDescent="0.3">
      <c r="A52">
        <v>2022.3</v>
      </c>
      <c r="B52" s="6">
        <v>50374.1</v>
      </c>
      <c r="C52" s="1"/>
      <c r="D52" s="2">
        <v>1</v>
      </c>
      <c r="E52" s="2">
        <v>52</v>
      </c>
      <c r="F52" s="1">
        <f t="shared" si="2"/>
        <v>41974.105976331972</v>
      </c>
      <c r="G52" s="1">
        <f t="shared" si="0"/>
        <v>8399.9940236680268</v>
      </c>
      <c r="H52" s="1">
        <f t="shared" si="1"/>
        <v>70559899.59765856</v>
      </c>
      <c r="I52" s="1"/>
      <c r="J52">
        <f t="shared" si="3"/>
        <v>5523</v>
      </c>
      <c r="K52">
        <f t="shared" ref="K52" si="47">J52-$P$5</f>
        <v>3215.5847916666662</v>
      </c>
    </row>
    <row r="53" spans="1:11" x14ac:dyDescent="0.3">
      <c r="A53">
        <v>2022.4</v>
      </c>
      <c r="B53" s="6">
        <v>47736.9</v>
      </c>
      <c r="C53" s="1"/>
      <c r="D53" s="2">
        <v>1</v>
      </c>
      <c r="E53" s="2">
        <v>53</v>
      </c>
      <c r="F53" s="1">
        <f t="shared" si="2"/>
        <v>41971.803070062131</v>
      </c>
      <c r="G53" s="1">
        <f t="shared" si="0"/>
        <v>5765.0969299378703</v>
      </c>
      <c r="H53" s="1">
        <f t="shared" si="1"/>
        <v>33236342.611579057</v>
      </c>
      <c r="I53" s="1"/>
      <c r="J53">
        <f t="shared" si="3"/>
        <v>-2637.1999999999971</v>
      </c>
      <c r="K53">
        <f t="shared" ref="K53" si="48">J53-$P$6</f>
        <v>-1263.9668749999962</v>
      </c>
    </row>
    <row r="54" spans="1:11" x14ac:dyDescent="0.3">
      <c r="A54">
        <v>2023.1</v>
      </c>
      <c r="B54" s="6">
        <v>44156.9</v>
      </c>
      <c r="C54" s="1"/>
      <c r="D54" s="2">
        <v>1</v>
      </c>
      <c r="E54" s="2">
        <v>54</v>
      </c>
      <c r="F54" s="1">
        <f t="shared" si="2"/>
        <v>41969.543334128037</v>
      </c>
      <c r="G54" s="1">
        <f t="shared" si="0"/>
        <v>2187.3566658719647</v>
      </c>
      <c r="H54" s="1">
        <f t="shared" si="1"/>
        <v>4784529.1837345175</v>
      </c>
      <c r="I54" s="1"/>
      <c r="J54">
        <f t="shared" si="3"/>
        <v>-3580</v>
      </c>
      <c r="K54">
        <f t="shared" ref="K54" si="49">J54-$P$3</f>
        <v>260.29729166666675</v>
      </c>
    </row>
    <row r="55" spans="1:11" x14ac:dyDescent="0.3">
      <c r="A55">
        <v>2023.2</v>
      </c>
      <c r="B55" s="6">
        <v>48505.9</v>
      </c>
      <c r="C55" s="1"/>
      <c r="D55" s="2">
        <v>1</v>
      </c>
      <c r="E55" s="2">
        <v>55</v>
      </c>
      <c r="F55" s="1">
        <f t="shared" si="2"/>
        <v>41967.325181921704</v>
      </c>
      <c r="G55" s="1">
        <f t="shared" si="0"/>
        <v>6538.5748180782975</v>
      </c>
      <c r="H55" s="1">
        <f t="shared" si="1"/>
        <v>42752960.65160764</v>
      </c>
      <c r="I55" s="1"/>
      <c r="J55">
        <f t="shared" si="3"/>
        <v>4349</v>
      </c>
      <c r="K55">
        <f t="shared" ref="K55" si="50">J55-$P$4</f>
        <v>1442.8847916666664</v>
      </c>
    </row>
    <row r="56" spans="1:11" x14ac:dyDescent="0.3">
      <c r="A56">
        <v>2023.3</v>
      </c>
      <c r="B56" s="6">
        <v>53448.4</v>
      </c>
      <c r="C56" s="1"/>
      <c r="D56" s="2">
        <v>1</v>
      </c>
      <c r="E56" s="2">
        <v>56</v>
      </c>
      <c r="F56" s="1">
        <f t="shared" si="2"/>
        <v>41965.147112687366</v>
      </c>
      <c r="G56" s="1">
        <f t="shared" si="0"/>
        <v>11483.252887312636</v>
      </c>
      <c r="H56" s="1">
        <f t="shared" si="1"/>
        <v>131865096.87397398</v>
      </c>
      <c r="I56" s="1"/>
      <c r="J56">
        <f t="shared" si="3"/>
        <v>4942.5</v>
      </c>
      <c r="K56">
        <f t="shared" ref="K56" si="51">J56-$P$5</f>
        <v>2635.0847916666662</v>
      </c>
    </row>
    <row r="57" spans="1:11" x14ac:dyDescent="0.3">
      <c r="A57">
        <v>2023.4</v>
      </c>
      <c r="B57" s="6">
        <v>50416.9</v>
      </c>
      <c r="C57" s="1"/>
      <c r="D57" s="2">
        <v>1</v>
      </c>
      <c r="E57" s="2">
        <v>57</v>
      </c>
      <c r="F57" s="1">
        <f t="shared" si="2"/>
        <v>41963.007705438438</v>
      </c>
      <c r="G57" s="1">
        <f t="shared" si="0"/>
        <v>8453.8922945615632</v>
      </c>
      <c r="H57" s="1">
        <f t="shared" si="1"/>
        <v>71468294.928047374</v>
      </c>
      <c r="I57" s="1"/>
      <c r="J57">
        <f t="shared" si="3"/>
        <v>-3031.5</v>
      </c>
      <c r="K57">
        <f t="shared" ref="K57" si="52">J57-$P$6</f>
        <v>-1658.2668749999991</v>
      </c>
    </row>
    <row r="58" spans="1:11" x14ac:dyDescent="0.3">
      <c r="A58">
        <v>2024.1</v>
      </c>
      <c r="B58" s="6">
        <v>45905.4</v>
      </c>
      <c r="C58" s="1"/>
      <c r="D58" s="2">
        <v>1</v>
      </c>
      <c r="E58" s="2">
        <v>58</v>
      </c>
      <c r="F58" s="1">
        <f t="shared" si="2"/>
        <v>41960.905613403738</v>
      </c>
      <c r="G58" s="1">
        <f t="shared" si="0"/>
        <v>3944.4943865962632</v>
      </c>
      <c r="H58" s="1">
        <f t="shared" si="1"/>
        <v>15559035.965889432</v>
      </c>
      <c r="I58" s="1"/>
      <c r="J58">
        <f t="shared" si="3"/>
        <v>-4511.5</v>
      </c>
      <c r="K58">
        <f t="shared" ref="K58" si="53">J58-$P$3</f>
        <v>-671.20270833333325</v>
      </c>
    </row>
    <row r="59" spans="1:11" x14ac:dyDescent="0.3">
      <c r="A59">
        <v>2024.2</v>
      </c>
      <c r="B59" s="6">
        <v>51005</v>
      </c>
      <c r="C59" s="1"/>
      <c r="D59" s="2">
        <v>1</v>
      </c>
      <c r="E59" s="2">
        <v>59</v>
      </c>
      <c r="F59" s="1">
        <f t="shared" si="2"/>
        <v>41958.839558948814</v>
      </c>
      <c r="G59" s="1">
        <f t="shared" si="0"/>
        <v>9046.1604410511864</v>
      </c>
      <c r="H59" s="1">
        <f t="shared" si="1"/>
        <v>81833018.725239396</v>
      </c>
      <c r="I59" s="1"/>
      <c r="J59">
        <f t="shared" si="3"/>
        <v>5099.5999999999985</v>
      </c>
      <c r="K59">
        <f t="shared" ref="K59" si="54">J59-$P$4</f>
        <v>2193.4847916666649</v>
      </c>
    </row>
    <row r="60" spans="1:11" x14ac:dyDescent="0.3">
      <c r="A60">
        <v>2024.3</v>
      </c>
      <c r="B60" s="6">
        <v>56074</v>
      </c>
      <c r="C60" s="1"/>
      <c r="D60" s="2">
        <v>1</v>
      </c>
      <c r="E60" s="2">
        <v>60</v>
      </c>
      <c r="F60" s="1">
        <f t="shared" si="2"/>
        <v>41956.80832892425</v>
      </c>
      <c r="G60" s="1">
        <f t="shared" si="0"/>
        <v>14117.19167107575</v>
      </c>
      <c r="H60" s="1">
        <f t="shared" si="1"/>
        <v>199295100.67789054</v>
      </c>
      <c r="I60" s="1"/>
      <c r="J60">
        <f t="shared" si="3"/>
        <v>5069</v>
      </c>
      <c r="K60">
        <f t="shared" ref="K60" si="55">J60-$P$5</f>
        <v>2761.5847916666662</v>
      </c>
    </row>
    <row r="61" spans="1:11" x14ac:dyDescent="0.3">
      <c r="A61">
        <v>2024.4</v>
      </c>
      <c r="B61" s="6">
        <v>52936</v>
      </c>
      <c r="C61" s="1"/>
      <c r="D61" s="2">
        <v>1</v>
      </c>
      <c r="E61" s="2">
        <v>61</v>
      </c>
      <c r="F61" s="1">
        <f t="shared" si="2"/>
        <v>41954.810770398712</v>
      </c>
      <c r="G61" s="1">
        <f t="shared" si="0"/>
        <v>10981.189229601288</v>
      </c>
      <c r="H61" s="1">
        <f t="shared" si="1"/>
        <v>120586516.89631134</v>
      </c>
      <c r="I61" s="1"/>
      <c r="J61">
        <f t="shared" si="3"/>
        <v>-3138</v>
      </c>
      <c r="K61">
        <f t="shared" ref="K61" si="56">J61-$P$6</f>
        <v>-1764.7668749999991</v>
      </c>
    </row>
    <row r="62" spans="1:11" x14ac:dyDescent="0.3">
      <c r="A62">
        <v>2025.1</v>
      </c>
      <c r="B62" s="6">
        <v>47907.8</v>
      </c>
      <c r="C62" s="1"/>
      <c r="D62" s="2">
        <v>1</v>
      </c>
      <c r="E62" s="2">
        <v>62</v>
      </c>
      <c r="F62" s="1">
        <f t="shared" si="2"/>
        <v>41952.845786739206</v>
      </c>
      <c r="G62" s="1">
        <f t="shared" si="0"/>
        <v>5954.9542132607967</v>
      </c>
      <c r="H62" s="1">
        <f t="shared" si="1"/>
        <v>35461479.682032511</v>
      </c>
      <c r="I62" s="1"/>
      <c r="J62">
        <f t="shared" si="3"/>
        <v>-5028.1999999999971</v>
      </c>
      <c r="K62">
        <f t="shared" ref="K62" si="57">J62-$P$3</f>
        <v>-1187.9027083333303</v>
      </c>
    </row>
    <row r="63" spans="1:11" x14ac:dyDescent="0.3">
      <c r="A63">
        <v>2025.2</v>
      </c>
      <c r="B63" s="6">
        <v>53716</v>
      </c>
      <c r="C63" s="1"/>
      <c r="D63" s="2">
        <v>1</v>
      </c>
      <c r="E63" s="2">
        <v>63</v>
      </c>
      <c r="F63" s="1">
        <f t="shared" si="2"/>
        <v>41950.912334005036</v>
      </c>
      <c r="G63" s="1">
        <f t="shared" si="0"/>
        <v>11765.087665994964</v>
      </c>
      <c r="H63" s="1">
        <f t="shared" si="1"/>
        <v>138417287.78854683</v>
      </c>
      <c r="I63" s="1"/>
      <c r="J63">
        <f t="shared" si="3"/>
        <v>5808.1999999999971</v>
      </c>
      <c r="K63">
        <f t="shared" ref="K63" si="58">J63-$P$4</f>
        <v>2902.0847916666635</v>
      </c>
    </row>
    <row r="64" spans="1:11" x14ac:dyDescent="0.3">
      <c r="A64" s="1"/>
    </row>
    <row r="65" spans="2:65" x14ac:dyDescent="0.3">
      <c r="B65" s="1">
        <f>AVERAGE(B2:B63)</f>
        <v>42373.20161290322</v>
      </c>
      <c r="C65" s="1"/>
      <c r="D65" s="1"/>
      <c r="E65" s="1"/>
      <c r="F65" s="1"/>
      <c r="G65" s="1"/>
      <c r="H65" s="3">
        <f>SUM(H2:H63)</f>
        <v>1734593833.1550555</v>
      </c>
      <c r="I65" s="1"/>
    </row>
    <row r="66" spans="2:65" x14ac:dyDescent="0.3">
      <c r="D66" s="3"/>
      <c r="E66" s="3"/>
      <c r="F66" s="3"/>
      <c r="G66" s="3"/>
      <c r="H66" s="3"/>
      <c r="I66" s="3"/>
      <c r="J66" s="3"/>
      <c r="K66" s="3"/>
    </row>
    <row r="68" spans="2:65" x14ac:dyDescent="0.3">
      <c r="D68" s="4" cm="1">
        <f t="array" ref="D68:BM69">TRANSPOSE(D2:E63)</f>
        <v>1</v>
      </c>
      <c r="E68" s="4">
        <v>1</v>
      </c>
      <c r="F68" s="4">
        <v>1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>
        <v>1</v>
      </c>
      <c r="M68" s="4">
        <v>1</v>
      </c>
      <c r="N68" s="4">
        <v>1</v>
      </c>
      <c r="O68" s="4">
        <v>1</v>
      </c>
      <c r="P68" s="4">
        <v>1</v>
      </c>
      <c r="Q68" s="4">
        <v>1</v>
      </c>
      <c r="R68" s="4">
        <v>1</v>
      </c>
      <c r="S68" s="4">
        <v>1</v>
      </c>
      <c r="T68" s="4">
        <v>1</v>
      </c>
      <c r="U68" s="4">
        <v>1</v>
      </c>
      <c r="V68" s="4">
        <v>1</v>
      </c>
      <c r="W68" s="4">
        <v>1</v>
      </c>
      <c r="X68" s="4">
        <v>1</v>
      </c>
      <c r="Y68" s="4">
        <v>1</v>
      </c>
      <c r="Z68" s="4">
        <v>1</v>
      </c>
      <c r="AA68" s="4">
        <v>1</v>
      </c>
      <c r="AB68" s="4">
        <v>1</v>
      </c>
      <c r="AC68" s="4">
        <v>1</v>
      </c>
      <c r="AD68" s="4">
        <v>1</v>
      </c>
      <c r="AE68" s="4">
        <v>1</v>
      </c>
      <c r="AF68" s="4">
        <v>1</v>
      </c>
      <c r="AG68" s="4">
        <v>1</v>
      </c>
      <c r="AH68" s="4">
        <v>1</v>
      </c>
      <c r="AI68" s="4">
        <v>1</v>
      </c>
      <c r="AJ68" s="4">
        <v>1</v>
      </c>
      <c r="AK68" s="4">
        <v>1</v>
      </c>
      <c r="AL68" s="4">
        <v>1</v>
      </c>
      <c r="AM68" s="4">
        <v>1</v>
      </c>
      <c r="AN68" s="4">
        <v>1</v>
      </c>
      <c r="AO68" s="4">
        <v>1</v>
      </c>
      <c r="AP68" s="4">
        <v>1</v>
      </c>
      <c r="AQ68" s="4">
        <v>1</v>
      </c>
      <c r="AR68" s="4">
        <v>1</v>
      </c>
      <c r="AS68" s="4">
        <v>1</v>
      </c>
      <c r="AT68" s="4">
        <v>1</v>
      </c>
      <c r="AU68" s="4">
        <v>1</v>
      </c>
      <c r="AV68" s="4">
        <v>1</v>
      </c>
      <c r="AW68" s="4">
        <v>1</v>
      </c>
      <c r="AX68" s="4">
        <v>1</v>
      </c>
      <c r="AY68" s="4">
        <v>1</v>
      </c>
      <c r="AZ68" s="4">
        <v>1</v>
      </c>
      <c r="BA68" s="4">
        <v>1</v>
      </c>
      <c r="BB68" s="4">
        <v>1</v>
      </c>
      <c r="BC68" s="4">
        <v>1</v>
      </c>
      <c r="BD68" s="4">
        <v>1</v>
      </c>
      <c r="BE68" s="4">
        <v>1</v>
      </c>
      <c r="BF68" s="4">
        <v>1</v>
      </c>
      <c r="BG68" s="4">
        <v>1</v>
      </c>
      <c r="BH68" s="4">
        <v>1</v>
      </c>
      <c r="BI68" s="4">
        <v>1</v>
      </c>
      <c r="BJ68" s="4">
        <v>1</v>
      </c>
      <c r="BK68" s="4">
        <v>1</v>
      </c>
      <c r="BL68" s="4">
        <v>1</v>
      </c>
      <c r="BM68" s="4">
        <v>1</v>
      </c>
    </row>
    <row r="69" spans="2:65" x14ac:dyDescent="0.3">
      <c r="D69" s="4">
        <v>2</v>
      </c>
      <c r="E69" s="4">
        <v>3</v>
      </c>
      <c r="F69" s="4">
        <v>4</v>
      </c>
      <c r="G69" s="4">
        <v>5</v>
      </c>
      <c r="H69" s="4">
        <v>6</v>
      </c>
      <c r="I69" s="4">
        <v>7</v>
      </c>
      <c r="J69" s="4">
        <v>8</v>
      </c>
      <c r="K69" s="4">
        <v>9</v>
      </c>
      <c r="L69" s="4">
        <v>10</v>
      </c>
      <c r="M69" s="4">
        <v>11</v>
      </c>
      <c r="N69" s="4">
        <v>12</v>
      </c>
      <c r="O69" s="4">
        <v>13</v>
      </c>
      <c r="P69" s="4">
        <v>14</v>
      </c>
      <c r="Q69" s="4">
        <v>15</v>
      </c>
      <c r="R69" s="4">
        <v>16</v>
      </c>
      <c r="S69" s="4">
        <v>17</v>
      </c>
      <c r="T69" s="4">
        <v>18</v>
      </c>
      <c r="U69" s="4">
        <v>19</v>
      </c>
      <c r="V69" s="4">
        <v>20</v>
      </c>
      <c r="W69" s="4">
        <v>21</v>
      </c>
      <c r="X69" s="4">
        <v>22</v>
      </c>
      <c r="Y69" s="4">
        <v>23</v>
      </c>
      <c r="Z69" s="4">
        <v>24</v>
      </c>
      <c r="AA69" s="4">
        <v>25</v>
      </c>
      <c r="AB69" s="4">
        <v>26</v>
      </c>
      <c r="AC69" s="4">
        <v>27</v>
      </c>
      <c r="AD69" s="4">
        <v>28</v>
      </c>
      <c r="AE69" s="4">
        <v>29</v>
      </c>
      <c r="AF69" s="4">
        <v>30</v>
      </c>
      <c r="AG69" s="4">
        <v>31</v>
      </c>
      <c r="AH69" s="4">
        <v>32</v>
      </c>
      <c r="AI69" s="4">
        <v>33</v>
      </c>
      <c r="AJ69" s="4">
        <v>34</v>
      </c>
      <c r="AK69" s="4">
        <v>35</v>
      </c>
      <c r="AL69" s="4">
        <v>36</v>
      </c>
      <c r="AM69" s="4">
        <v>37</v>
      </c>
      <c r="AN69" s="4">
        <v>38</v>
      </c>
      <c r="AO69" s="4">
        <v>39</v>
      </c>
      <c r="AP69" s="4">
        <v>40</v>
      </c>
      <c r="AQ69" s="4">
        <v>41</v>
      </c>
      <c r="AR69" s="4">
        <v>42</v>
      </c>
      <c r="AS69" s="4">
        <v>43</v>
      </c>
      <c r="AT69" s="4">
        <v>44</v>
      </c>
      <c r="AU69" s="4">
        <v>45</v>
      </c>
      <c r="AV69" s="4">
        <v>46</v>
      </c>
      <c r="AW69" s="4">
        <v>47</v>
      </c>
      <c r="AX69" s="4">
        <v>48</v>
      </c>
      <c r="AY69" s="4">
        <v>49</v>
      </c>
      <c r="AZ69" s="4">
        <v>50</v>
      </c>
      <c r="BA69" s="4">
        <v>51</v>
      </c>
      <c r="BB69" s="4">
        <v>52</v>
      </c>
      <c r="BC69" s="4">
        <v>53</v>
      </c>
      <c r="BD69" s="4">
        <v>54</v>
      </c>
      <c r="BE69" s="4">
        <v>55</v>
      </c>
      <c r="BF69" s="4">
        <v>56</v>
      </c>
      <c r="BG69" s="4">
        <v>57</v>
      </c>
      <c r="BH69" s="4">
        <v>58</v>
      </c>
      <c r="BI69" s="4">
        <v>59</v>
      </c>
      <c r="BJ69" s="4">
        <v>60</v>
      </c>
      <c r="BK69" s="4">
        <v>61</v>
      </c>
      <c r="BL69" s="4">
        <v>62</v>
      </c>
      <c r="BM69" s="4">
        <v>63</v>
      </c>
    </row>
    <row r="72" spans="2:65" x14ac:dyDescent="0.3">
      <c r="D72" cm="1">
        <f t="array" ref="D72:E73">MMULT(_xlfn.ANCHORARRAY(D68),D2:E63)</f>
        <v>62</v>
      </c>
      <c r="E72">
        <v>2015</v>
      </c>
      <c r="G72" s="5" cm="1">
        <f t="array" ref="G72:H73">MINVERSE(_xlfn.ANCHORARRAY(D72))</f>
        <v>6.932587947923749E-2</v>
      </c>
      <c r="H72" s="5">
        <v>-1.6368260683437843E-3</v>
      </c>
    </row>
    <row r="73" spans="2:65" x14ac:dyDescent="0.3">
      <c r="D73">
        <v>2015</v>
      </c>
      <c r="E73">
        <v>85343</v>
      </c>
      <c r="G73" s="5">
        <v>-1.6368260683437838E-3</v>
      </c>
      <c r="H73" s="5">
        <v>5.0363879025962586E-5</v>
      </c>
    </row>
    <row r="76" spans="2:65" x14ac:dyDescent="0.3">
      <c r="D76" cm="1">
        <f t="array" ref="D76:D77">MMULT(_xlfn.ANCHORARRAY(D68),B2:B63)</f>
        <v>2627138.4999999995</v>
      </c>
      <c r="H76" t="s">
        <v>16</v>
      </c>
      <c r="I76" s="7">
        <f>H65/(62-1-1)</f>
        <v>28909897.219250925</v>
      </c>
    </row>
    <row r="77" spans="2:65" x14ac:dyDescent="0.3">
      <c r="D77">
        <v>87110548.100000009</v>
      </c>
      <c r="I77" s="7"/>
    </row>
    <row r="80" spans="2:65" x14ac:dyDescent="0.3">
      <c r="C80" t="s">
        <v>11</v>
      </c>
      <c r="D80" s="21">
        <v>10.656189347570036</v>
      </c>
    </row>
    <row r="81" spans="3:36" x14ac:dyDescent="0.3">
      <c r="C81" t="s">
        <v>12</v>
      </c>
      <c r="D81" s="21">
        <v>-2.8804006073729991E-3</v>
      </c>
    </row>
    <row r="84" spans="3:36" x14ac:dyDescent="0.3">
      <c r="C84" t="s">
        <v>19</v>
      </c>
    </row>
    <row r="85" spans="3:36" x14ac:dyDescent="0.3">
      <c r="D85">
        <f>I76*G72</f>
        <v>2004204.0503789326</v>
      </c>
      <c r="E85">
        <f>I76*H72</f>
        <v>-47320.473401609393</v>
      </c>
      <c r="H85" t="s">
        <v>17</v>
      </c>
      <c r="I85" s="19">
        <f>D81*B63/62</f>
        <v>-2.4955419197685162</v>
      </c>
      <c r="J85" t="s">
        <v>73</v>
      </c>
    </row>
    <row r="86" spans="3:36" x14ac:dyDescent="0.3">
      <c r="D86">
        <f>I76*G73</f>
        <v>-47320.473401609379</v>
      </c>
      <c r="E86">
        <f>I76*H73</f>
        <v>1456.0145662033658</v>
      </c>
      <c r="H86" t="s">
        <v>18</v>
      </c>
      <c r="I86" s="20">
        <f>D81/62</f>
        <v>-4.6458074312467727E-5</v>
      </c>
      <c r="J86" t="s">
        <v>74</v>
      </c>
    </row>
    <row r="90" spans="3:36" ht="15.6" x14ac:dyDescent="0.3">
      <c r="H90" s="14"/>
      <c r="I90" s="12"/>
      <c r="J90" s="11"/>
    </row>
    <row r="91" spans="3:36" ht="15.6" x14ac:dyDescent="0.3">
      <c r="H91" s="14"/>
      <c r="I91" s="12"/>
      <c r="J91" s="11"/>
    </row>
    <row r="92" spans="3:36" ht="15.6" x14ac:dyDescent="0.3">
      <c r="H92" s="15"/>
      <c r="I92" s="12"/>
      <c r="J92" s="11"/>
    </row>
    <row r="93" spans="3:36" ht="15.6" x14ac:dyDescent="0.3">
      <c r="H93" s="15"/>
      <c r="I93" s="7"/>
      <c r="J93" s="11"/>
    </row>
    <row r="94" spans="3:36" ht="15.6" x14ac:dyDescent="0.3">
      <c r="H94" s="15"/>
      <c r="I94" s="12"/>
      <c r="J94" s="11"/>
    </row>
    <row r="95" spans="3:36" x14ac:dyDescent="0.3"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26E28-90CB-4A6B-B997-5C265D9B5F2F}">
  <dimension ref="A1:BM95"/>
  <sheetViews>
    <sheetView topLeftCell="A67" zoomScaleNormal="100" workbookViewId="0"/>
  </sheetViews>
  <sheetFormatPr defaultRowHeight="14.4" x14ac:dyDescent="0.3"/>
  <cols>
    <col min="1" max="1" width="7" bestFit="1" customWidth="1"/>
    <col min="2" max="2" width="9" bestFit="1" customWidth="1"/>
    <col min="3" max="3" width="6.5546875" bestFit="1" customWidth="1"/>
    <col min="4" max="4" width="13.33203125" customWidth="1"/>
    <col min="5" max="5" width="16" customWidth="1"/>
    <col min="6" max="6" width="14.109375" customWidth="1"/>
    <col min="7" max="7" width="12.6640625" bestFit="1" customWidth="1"/>
    <col min="8" max="8" width="23.77734375" customWidth="1"/>
    <col min="9" max="9" width="15.88671875" customWidth="1"/>
    <col min="10" max="10" width="16.88671875" customWidth="1"/>
    <col min="11" max="11" width="14.21875" bestFit="1" customWidth="1"/>
    <col min="12" max="12" width="5.6640625" customWidth="1"/>
    <col min="13" max="13" width="6.21875" customWidth="1"/>
    <col min="14" max="14" width="6.77734375" customWidth="1"/>
    <col min="15" max="15" width="12.6640625" bestFit="1" customWidth="1"/>
    <col min="16" max="16" width="16.33203125" customWidth="1"/>
    <col min="17" max="17" width="8.33203125" customWidth="1"/>
    <col min="18" max="36" width="3" bestFit="1" customWidth="1"/>
    <col min="37" max="37" width="3.33203125" customWidth="1"/>
    <col min="38" max="65" width="3" bestFit="1" customWidth="1"/>
  </cols>
  <sheetData>
    <row r="1" spans="1:16" x14ac:dyDescent="0.3">
      <c r="A1" t="s">
        <v>0</v>
      </c>
      <c r="B1" t="s">
        <v>1</v>
      </c>
      <c r="E1" t="s">
        <v>50</v>
      </c>
      <c r="F1" t="s">
        <v>13</v>
      </c>
      <c r="G1" t="s">
        <v>14</v>
      </c>
      <c r="H1" t="s">
        <v>15</v>
      </c>
      <c r="J1" t="s">
        <v>2</v>
      </c>
      <c r="K1" t="s">
        <v>3</v>
      </c>
      <c r="O1" t="s">
        <v>4</v>
      </c>
    </row>
    <row r="2" spans="1:16" x14ac:dyDescent="0.3">
      <c r="A2">
        <v>2010.1</v>
      </c>
      <c r="B2" s="6">
        <v>48489.7</v>
      </c>
      <c r="C2" s="1"/>
      <c r="D2" s="2">
        <v>1</v>
      </c>
      <c r="E2" s="2">
        <v>2</v>
      </c>
      <c r="F2" s="1">
        <f>EXP($D$80+$D$81*E2)</f>
        <v>39736.717048661259</v>
      </c>
      <c r="G2" s="1">
        <f t="shared" ref="G2:G63" si="0">B2-F2</f>
        <v>8752.9829513387376</v>
      </c>
      <c r="H2" s="1">
        <f t="shared" ref="H2:H63" si="1">G2^2</f>
        <v>76614710.546426594</v>
      </c>
      <c r="I2" s="1"/>
      <c r="O2" t="s">
        <v>5</v>
      </c>
      <c r="P2" t="s">
        <v>6</v>
      </c>
    </row>
    <row r="3" spans="1:16" x14ac:dyDescent="0.3">
      <c r="A3">
        <v>2010.2</v>
      </c>
      <c r="B3" s="6">
        <v>49856.6</v>
      </c>
      <c r="C3" s="1"/>
      <c r="D3" s="2">
        <v>1</v>
      </c>
      <c r="E3" s="2">
        <v>3</v>
      </c>
      <c r="F3" s="1">
        <f t="shared" ref="F3:F63" si="2">EXP($D$80+$D$81*E3)</f>
        <v>39810.813517455637</v>
      </c>
      <c r="G3" s="1">
        <f t="shared" si="0"/>
        <v>10045.786482544361</v>
      </c>
      <c r="H3" s="1">
        <f t="shared" si="1"/>
        <v>100917826.052871</v>
      </c>
      <c r="I3" s="1"/>
      <c r="J3">
        <f t="shared" ref="J3:J63" si="3">B3-B2</f>
        <v>1366.9000000000015</v>
      </c>
      <c r="K3">
        <f>J3-$P$4</f>
        <v>-1539.2152083333322</v>
      </c>
      <c r="N3" t="s">
        <v>7</v>
      </c>
      <c r="O3">
        <f>AVERAGE(J6,J10,,J14,J18,J22,J26,J30,J34,J38,J42,J46,J50,J54,J58,J62)</f>
        <v>-3779.1374999999998</v>
      </c>
      <c r="P3">
        <f>O3-$O$8</f>
        <v>-3840.2972916666668</v>
      </c>
    </row>
    <row r="4" spans="1:16" x14ac:dyDescent="0.3">
      <c r="A4">
        <v>2010.3</v>
      </c>
      <c r="B4" s="6">
        <v>48755.4</v>
      </c>
      <c r="C4" s="1"/>
      <c r="D4" s="2">
        <v>1</v>
      </c>
      <c r="E4" s="2">
        <v>4</v>
      </c>
      <c r="F4" s="1">
        <f t="shared" si="2"/>
        <v>39885.048152839961</v>
      </c>
      <c r="G4" s="1">
        <f t="shared" si="0"/>
        <v>8870.3518471600401</v>
      </c>
      <c r="H4" s="1">
        <f t="shared" si="1"/>
        <v>78683141.892415538</v>
      </c>
      <c r="I4" s="1"/>
      <c r="J4">
        <f t="shared" si="3"/>
        <v>-1101.1999999999971</v>
      </c>
      <c r="K4">
        <f>J4-$P$5</f>
        <v>-3408.6152083333309</v>
      </c>
      <c r="N4" t="s">
        <v>8</v>
      </c>
      <c r="O4">
        <f>AVERAGE(J3,J7,J11,J15,J19,J23,J27,J31,J35,J39,J43,J47,J51,J55,J59,J63)</f>
        <v>2967.2750000000001</v>
      </c>
      <c r="P4">
        <f t="shared" ref="P4:P6" si="4">O4-$O$8</f>
        <v>2906.1152083333336</v>
      </c>
    </row>
    <row r="5" spans="1:16" x14ac:dyDescent="0.3">
      <c r="A5">
        <v>2010.4</v>
      </c>
      <c r="B5" s="6">
        <v>50094</v>
      </c>
      <c r="C5" s="1"/>
      <c r="D5" s="2">
        <v>1</v>
      </c>
      <c r="E5" s="2">
        <v>5</v>
      </c>
      <c r="F5" s="1">
        <f t="shared" si="2"/>
        <v>39959.4212124513</v>
      </c>
      <c r="G5" s="1">
        <f t="shared" si="0"/>
        <v>10134.5787875487</v>
      </c>
      <c r="H5" s="1">
        <f t="shared" si="1"/>
        <v>102709687.20103209</v>
      </c>
      <c r="I5" s="1"/>
      <c r="J5">
        <f t="shared" si="3"/>
        <v>1338.5999999999985</v>
      </c>
      <c r="K5">
        <f>J5-$P$6</f>
        <v>2711.8331249999992</v>
      </c>
      <c r="N5" t="s">
        <v>9</v>
      </c>
      <c r="O5">
        <f>AVERAGE(J4,J8,J12,,J16,J20,J24,J28,J32,J36,J40,J44,J48,J52,J56,J60)</f>
        <v>2368.5750000000007</v>
      </c>
      <c r="P5">
        <f t="shared" si="4"/>
        <v>2307.4152083333338</v>
      </c>
    </row>
    <row r="6" spans="1:16" x14ac:dyDescent="0.3">
      <c r="A6">
        <v>2011.1</v>
      </c>
      <c r="B6" s="6">
        <v>43083.6</v>
      </c>
      <c r="C6" s="1"/>
      <c r="D6" s="2">
        <v>1</v>
      </c>
      <c r="E6" s="2">
        <v>6</v>
      </c>
      <c r="F6" s="1">
        <f t="shared" si="2"/>
        <v>40033.932954407326</v>
      </c>
      <c r="G6" s="1">
        <f t="shared" si="0"/>
        <v>3049.6670455926724</v>
      </c>
      <c r="H6" s="1">
        <f t="shared" si="1"/>
        <v>9300469.0889739394</v>
      </c>
      <c r="I6" s="1"/>
      <c r="J6">
        <f t="shared" si="3"/>
        <v>-7010.4000000000015</v>
      </c>
      <c r="K6">
        <f>J6-$P$3</f>
        <v>-3170.1027083333347</v>
      </c>
      <c r="N6" t="s">
        <v>10</v>
      </c>
      <c r="O6">
        <f>AVERAGE(J5,J9,J13,J17,J21,J25,J29,J33,J37,J41,J45,J49,J53,J57,J61)</f>
        <v>-1312.0733333333342</v>
      </c>
      <c r="P6">
        <f t="shared" si="4"/>
        <v>-1373.2331250000009</v>
      </c>
    </row>
    <row r="7" spans="1:16" x14ac:dyDescent="0.3">
      <c r="A7">
        <v>2011.2</v>
      </c>
      <c r="B7" s="6">
        <v>45650.8</v>
      </c>
      <c r="C7" s="1"/>
      <c r="D7" s="2">
        <v>1</v>
      </c>
      <c r="E7" s="2">
        <v>7</v>
      </c>
      <c r="F7" s="1">
        <f t="shared" si="2"/>
        <v>40108.583637306969</v>
      </c>
      <c r="G7" s="1">
        <f t="shared" si="0"/>
        <v>5542.2163626930342</v>
      </c>
      <c r="H7" s="1">
        <f t="shared" si="1"/>
        <v>30716162.210902404</v>
      </c>
      <c r="I7" s="1"/>
      <c r="J7">
        <f t="shared" si="3"/>
        <v>2567.2000000000044</v>
      </c>
      <c r="K7">
        <f>J7-$P$4</f>
        <v>-338.91520833332925</v>
      </c>
    </row>
    <row r="8" spans="1:16" x14ac:dyDescent="0.3">
      <c r="A8">
        <v>2011.3</v>
      </c>
      <c r="B8" s="6">
        <v>45345</v>
      </c>
      <c r="C8" s="1"/>
      <c r="D8" s="2">
        <v>1</v>
      </c>
      <c r="E8" s="2">
        <v>8</v>
      </c>
      <c r="F8" s="1">
        <f t="shared" si="2"/>
        <v>40183.373520231333</v>
      </c>
      <c r="G8" s="1">
        <f t="shared" si="0"/>
        <v>5161.6264797686672</v>
      </c>
      <c r="H8" s="1">
        <f t="shared" si="1"/>
        <v>26642387.916649085</v>
      </c>
      <c r="I8" s="1"/>
      <c r="J8">
        <f t="shared" si="3"/>
        <v>-305.80000000000291</v>
      </c>
      <c r="K8">
        <f>J8-$P$5</f>
        <v>-2613.2152083333367</v>
      </c>
      <c r="O8">
        <f>AVERAGE(O3:O6)</f>
        <v>61.159791666666706</v>
      </c>
      <c r="P8">
        <f>SUM(P3:P6)</f>
        <v>0</v>
      </c>
    </row>
    <row r="9" spans="1:16" x14ac:dyDescent="0.3">
      <c r="A9">
        <v>2011.4</v>
      </c>
      <c r="B9" s="6">
        <v>44267.9</v>
      </c>
      <c r="C9" s="1"/>
      <c r="D9" s="2">
        <v>1</v>
      </c>
      <c r="E9" s="2">
        <v>9</v>
      </c>
      <c r="F9" s="1">
        <f t="shared" si="2"/>
        <v>40258.302862744669</v>
      </c>
      <c r="G9" s="1">
        <f t="shared" si="0"/>
        <v>4009.5971372553322</v>
      </c>
      <c r="H9" s="1">
        <f t="shared" si="1"/>
        <v>16076869.203086155</v>
      </c>
      <c r="I9" s="1"/>
      <c r="J9">
        <f t="shared" si="3"/>
        <v>-1077.0999999999985</v>
      </c>
      <c r="K9">
        <f>J9-$P$6</f>
        <v>296.13312500000234</v>
      </c>
    </row>
    <row r="10" spans="1:16" x14ac:dyDescent="0.3">
      <c r="A10">
        <v>2012.1</v>
      </c>
      <c r="B10" s="6">
        <v>39075.199999999997</v>
      </c>
      <c r="C10" s="1"/>
      <c r="D10" s="2">
        <v>1</v>
      </c>
      <c r="E10" s="2">
        <v>10</v>
      </c>
      <c r="F10" s="1">
        <f t="shared" si="2"/>
        <v>40333.371924895189</v>
      </c>
      <c r="G10" s="1">
        <f t="shared" si="0"/>
        <v>-1258.1719248951922</v>
      </c>
      <c r="H10" s="1">
        <f t="shared" si="1"/>
        <v>1582996.5925944732</v>
      </c>
      <c r="I10" s="1"/>
      <c r="J10">
        <f t="shared" si="3"/>
        <v>-5192.7000000000044</v>
      </c>
      <c r="K10">
        <f t="shared" ref="K10" si="5">J10-$P$3</f>
        <v>-1352.4027083333376</v>
      </c>
    </row>
    <row r="11" spans="1:16" x14ac:dyDescent="0.3">
      <c r="A11">
        <v>2012.2</v>
      </c>
      <c r="B11" s="6">
        <v>41223.800000000003</v>
      </c>
      <c r="C11" s="1"/>
      <c r="D11" s="2">
        <v>1</v>
      </c>
      <c r="E11" s="2">
        <v>11</v>
      </c>
      <c r="F11" s="1">
        <f t="shared" si="2"/>
        <v>40408.580967216054</v>
      </c>
      <c r="G11" s="1">
        <f t="shared" si="0"/>
        <v>815.21903278394893</v>
      </c>
      <c r="H11" s="1">
        <f t="shared" si="1"/>
        <v>664582.07141319721</v>
      </c>
      <c r="I11" s="1"/>
      <c r="J11">
        <f t="shared" si="3"/>
        <v>2148.6000000000058</v>
      </c>
      <c r="K11">
        <f t="shared" ref="K11" si="6">J11-$P$4</f>
        <v>-757.51520833332779</v>
      </c>
    </row>
    <row r="12" spans="1:16" x14ac:dyDescent="0.3">
      <c r="A12">
        <v>2012.3</v>
      </c>
      <c r="B12" s="6">
        <v>41766.800000000003</v>
      </c>
      <c r="C12" s="1"/>
      <c r="D12" s="2">
        <v>1</v>
      </c>
      <c r="E12" s="2">
        <v>12</v>
      </c>
      <c r="F12" s="1">
        <f t="shared" si="2"/>
        <v>40483.930250726276</v>
      </c>
      <c r="G12" s="1">
        <f t="shared" si="0"/>
        <v>1282.8697492737265</v>
      </c>
      <c r="H12" s="1">
        <f t="shared" si="1"/>
        <v>1645754.7936016337</v>
      </c>
      <c r="I12" s="1"/>
      <c r="J12">
        <f t="shared" si="3"/>
        <v>543</v>
      </c>
      <c r="K12">
        <f t="shared" ref="K12" si="7">J12-$P$5</f>
        <v>-1764.4152083333338</v>
      </c>
    </row>
    <row r="13" spans="1:16" x14ac:dyDescent="0.3">
      <c r="A13">
        <v>2012.4</v>
      </c>
      <c r="B13" s="6">
        <v>41700.400000000001</v>
      </c>
      <c r="C13" s="1"/>
      <c r="D13" s="2">
        <v>1</v>
      </c>
      <c r="E13" s="2">
        <v>13</v>
      </c>
      <c r="F13" s="1">
        <f t="shared" si="2"/>
        <v>40559.420036931384</v>
      </c>
      <c r="G13" s="1">
        <f t="shared" si="0"/>
        <v>1140.9799630686175</v>
      </c>
      <c r="H13" s="1">
        <f t="shared" si="1"/>
        <v>1301835.2761240639</v>
      </c>
      <c r="I13" s="1"/>
      <c r="J13">
        <f t="shared" si="3"/>
        <v>-66.400000000001455</v>
      </c>
      <c r="K13">
        <f t="shared" ref="K13" si="8">J13-$P$6</f>
        <v>1306.8331249999994</v>
      </c>
    </row>
    <row r="14" spans="1:16" x14ac:dyDescent="0.3">
      <c r="A14">
        <v>2013.1</v>
      </c>
      <c r="B14" s="6">
        <v>36810.699999999997</v>
      </c>
      <c r="C14" s="1"/>
      <c r="D14" s="2">
        <v>1</v>
      </c>
      <c r="E14" s="2">
        <v>14</v>
      </c>
      <c r="F14" s="1">
        <f t="shared" si="2"/>
        <v>40635.050587824757</v>
      </c>
      <c r="G14" s="1">
        <f t="shared" si="0"/>
        <v>-3824.3505878247597</v>
      </c>
      <c r="H14" s="1">
        <f t="shared" si="1"/>
        <v>14625657.418595586</v>
      </c>
      <c r="I14" s="1"/>
      <c r="J14">
        <f t="shared" si="3"/>
        <v>-4889.7000000000044</v>
      </c>
      <c r="K14">
        <f t="shared" ref="K14" si="9">J14-$P$3</f>
        <v>-1049.4027083333376</v>
      </c>
    </row>
    <row r="15" spans="1:16" x14ac:dyDescent="0.3">
      <c r="A15">
        <v>2013.2</v>
      </c>
      <c r="B15" s="6">
        <v>39772.1</v>
      </c>
      <c r="C15" s="1"/>
      <c r="D15" s="2">
        <v>1</v>
      </c>
      <c r="E15" s="2">
        <v>15</v>
      </c>
      <c r="F15" s="1">
        <f t="shared" si="2"/>
        <v>40710.822165888225</v>
      </c>
      <c r="G15" s="1">
        <f t="shared" si="0"/>
        <v>-938.7221658882263</v>
      </c>
      <c r="H15" s="1">
        <f t="shared" si="1"/>
        <v>881199.30472988263</v>
      </c>
      <c r="I15" s="1"/>
      <c r="J15">
        <f t="shared" si="3"/>
        <v>2961.4000000000015</v>
      </c>
      <c r="K15">
        <f t="shared" ref="K15" si="10">J15-$P$4</f>
        <v>55.284791666667843</v>
      </c>
    </row>
    <row r="16" spans="1:16" x14ac:dyDescent="0.3">
      <c r="A16">
        <v>2013.3</v>
      </c>
      <c r="B16" s="6">
        <v>40769.199999999997</v>
      </c>
      <c r="C16" s="1"/>
      <c r="D16" s="2">
        <v>1</v>
      </c>
      <c r="E16" s="2">
        <v>16</v>
      </c>
      <c r="F16" s="1">
        <f t="shared" si="2"/>
        <v>40786.735034093064</v>
      </c>
      <c r="G16" s="1">
        <f t="shared" si="0"/>
        <v>-17.535034093067225</v>
      </c>
      <c r="H16" s="1">
        <f t="shared" si="1"/>
        <v>307.47742064502989</v>
      </c>
      <c r="I16" s="1"/>
      <c r="J16">
        <f t="shared" si="3"/>
        <v>997.09999999999854</v>
      </c>
      <c r="K16">
        <f t="shared" ref="K16" si="11">J16-$P$5</f>
        <v>-1310.3152083333352</v>
      </c>
    </row>
    <row r="17" spans="1:11" x14ac:dyDescent="0.3">
      <c r="A17">
        <v>2013.4</v>
      </c>
      <c r="B17" s="6">
        <v>40443.199999999997</v>
      </c>
      <c r="C17" s="1"/>
      <c r="D17" s="2">
        <v>1</v>
      </c>
      <c r="E17" s="2">
        <v>17</v>
      </c>
      <c r="F17" s="1">
        <f t="shared" si="2"/>
        <v>40862.789455900915</v>
      </c>
      <c r="G17" s="1">
        <f t="shared" si="0"/>
        <v>-419.58945590091753</v>
      </c>
      <c r="H17" s="1">
        <f t="shared" si="1"/>
        <v>176055.311503228</v>
      </c>
      <c r="I17" s="1"/>
      <c r="J17">
        <f t="shared" si="3"/>
        <v>-326</v>
      </c>
      <c r="K17">
        <f t="shared" ref="K17" si="12">J17-$P$6</f>
        <v>1047.2331250000009</v>
      </c>
    </row>
    <row r="18" spans="1:11" x14ac:dyDescent="0.3">
      <c r="A18">
        <v>2014.1</v>
      </c>
      <c r="B18" s="6">
        <v>36236.6</v>
      </c>
      <c r="C18" s="1"/>
      <c r="D18" s="2">
        <v>1</v>
      </c>
      <c r="E18" s="2">
        <v>18</v>
      </c>
      <c r="F18" s="1">
        <f t="shared" si="2"/>
        <v>40938.985695264681</v>
      </c>
      <c r="G18" s="1">
        <f t="shared" si="0"/>
        <v>-4702.385695264682</v>
      </c>
      <c r="H18" s="1">
        <f t="shared" si="1"/>
        <v>22112431.227029908</v>
      </c>
      <c r="I18" s="1"/>
      <c r="J18">
        <f t="shared" si="3"/>
        <v>-4206.5999999999985</v>
      </c>
      <c r="K18">
        <f t="shared" ref="K18" si="13">J18-$P$3</f>
        <v>-366.30270833333179</v>
      </c>
    </row>
    <row r="19" spans="1:11" x14ac:dyDescent="0.3">
      <c r="A19">
        <v>2014.2</v>
      </c>
      <c r="B19" s="6">
        <v>38745.9</v>
      </c>
      <c r="C19" s="1"/>
      <c r="D19" s="2">
        <v>1</v>
      </c>
      <c r="E19" s="2">
        <v>19</v>
      </c>
      <c r="F19" s="1">
        <f t="shared" si="2"/>
        <v>41015.324016629471</v>
      </c>
      <c r="G19" s="1">
        <f t="shared" si="0"/>
        <v>-2269.4240166294694</v>
      </c>
      <c r="H19" s="1">
        <f t="shared" si="1"/>
        <v>5150285.3672546344</v>
      </c>
      <c r="I19" s="1"/>
      <c r="J19">
        <f t="shared" si="3"/>
        <v>2509.3000000000029</v>
      </c>
      <c r="K19">
        <f t="shared" ref="K19" si="14">J19-$P$4</f>
        <v>-396.8152083333307</v>
      </c>
    </row>
    <row r="20" spans="1:11" x14ac:dyDescent="0.3">
      <c r="A20">
        <v>2014.3</v>
      </c>
      <c r="B20" s="6">
        <v>40325.300000000003</v>
      </c>
      <c r="C20" s="1"/>
      <c r="D20" s="2">
        <v>1</v>
      </c>
      <c r="E20" s="2">
        <v>20</v>
      </c>
      <c r="F20" s="1">
        <f t="shared" si="2"/>
        <v>41091.804684933559</v>
      </c>
      <c r="G20" s="1">
        <f t="shared" si="0"/>
        <v>-766.50468493355584</v>
      </c>
      <c r="H20" s="1">
        <f t="shared" si="1"/>
        <v>587529.43202508974</v>
      </c>
      <c r="I20" s="1"/>
      <c r="J20">
        <f t="shared" si="3"/>
        <v>1579.4000000000015</v>
      </c>
      <c r="K20">
        <f t="shared" ref="K20" si="15">J20-$P$5</f>
        <v>-728.01520833333234</v>
      </c>
    </row>
    <row r="21" spans="1:11" x14ac:dyDescent="0.3">
      <c r="A21">
        <v>2014.4</v>
      </c>
      <c r="B21" s="6">
        <v>40047.5</v>
      </c>
      <c r="C21" s="1"/>
      <c r="D21" s="2">
        <v>1</v>
      </c>
      <c r="E21" s="2">
        <v>21</v>
      </c>
      <c r="F21" s="1">
        <f t="shared" si="2"/>
        <v>41168.427965609037</v>
      </c>
      <c r="G21" s="1">
        <f t="shared" si="0"/>
        <v>-1120.9279656090366</v>
      </c>
      <c r="H21" s="1">
        <f t="shared" si="1"/>
        <v>1256479.5040844136</v>
      </c>
      <c r="I21" s="1"/>
      <c r="J21">
        <f t="shared" si="3"/>
        <v>-277.80000000000291</v>
      </c>
      <c r="K21">
        <f t="shared" ref="K21" si="16">J21-$P$6</f>
        <v>1095.433124999998</v>
      </c>
    </row>
    <row r="22" spans="1:11" x14ac:dyDescent="0.3">
      <c r="A22">
        <v>2015.1</v>
      </c>
      <c r="B22" s="6">
        <v>36268.1</v>
      </c>
      <c r="C22" s="1"/>
      <c r="D22" s="2">
        <v>1</v>
      </c>
      <c r="E22" s="2">
        <v>22</v>
      </c>
      <c r="F22" s="1">
        <f t="shared" si="2"/>
        <v>41245.194124583155</v>
      </c>
      <c r="G22" s="1">
        <f t="shared" si="0"/>
        <v>-4977.0941245831564</v>
      </c>
      <c r="H22" s="1">
        <f t="shared" si="1"/>
        <v>24771465.924960177</v>
      </c>
      <c r="I22" s="1"/>
      <c r="J22">
        <f t="shared" si="3"/>
        <v>-3779.4000000000015</v>
      </c>
      <c r="K22">
        <f t="shared" ref="K22" si="17">J22-$P$3</f>
        <v>60.897291666665296</v>
      </c>
    </row>
    <row r="23" spans="1:11" x14ac:dyDescent="0.3">
      <c r="A23">
        <v>2015.2</v>
      </c>
      <c r="B23" s="6">
        <v>38729.1</v>
      </c>
      <c r="C23" s="1"/>
      <c r="D23" s="2">
        <v>1</v>
      </c>
      <c r="E23" s="2">
        <v>23</v>
      </c>
      <c r="F23" s="1">
        <f t="shared" si="2"/>
        <v>41322.10342827897</v>
      </c>
      <c r="G23" s="1">
        <f t="shared" si="0"/>
        <v>-2593.0034282789711</v>
      </c>
      <c r="H23" s="1">
        <f t="shared" si="1"/>
        <v>6723666.7790664975</v>
      </c>
      <c r="I23" s="1"/>
      <c r="J23">
        <f t="shared" si="3"/>
        <v>2461</v>
      </c>
      <c r="K23">
        <f t="shared" ref="K23" si="18">J23-$P$4</f>
        <v>-445.11520833333361</v>
      </c>
    </row>
    <row r="24" spans="1:11" x14ac:dyDescent="0.3">
      <c r="A24">
        <v>2015.3</v>
      </c>
      <c r="B24" s="6">
        <v>39614</v>
      </c>
      <c r="C24" s="1"/>
      <c r="D24" s="2">
        <v>1</v>
      </c>
      <c r="E24" s="2">
        <v>24</v>
      </c>
      <c r="F24" s="1">
        <f t="shared" si="2"/>
        <v>41399.156143616317</v>
      </c>
      <c r="G24" s="1">
        <f t="shared" si="0"/>
        <v>-1785.1561436163174</v>
      </c>
      <c r="H24" s="1">
        <f t="shared" si="1"/>
        <v>3186782.4570910819</v>
      </c>
      <c r="I24" s="1"/>
      <c r="J24">
        <f t="shared" si="3"/>
        <v>884.90000000000146</v>
      </c>
      <c r="K24">
        <f t="shared" ref="K24" si="19">J24-$P$5</f>
        <v>-1422.5152083333323</v>
      </c>
    </row>
    <row r="25" spans="1:11" x14ac:dyDescent="0.3">
      <c r="A25">
        <v>2015.4</v>
      </c>
      <c r="B25" s="6">
        <v>40169.5</v>
      </c>
      <c r="C25" s="1"/>
      <c r="D25" s="2">
        <v>1</v>
      </c>
      <c r="E25" s="2">
        <v>25</v>
      </c>
      <c r="F25" s="1">
        <f t="shared" si="2"/>
        <v>41476.352538012776</v>
      </c>
      <c r="G25" s="1">
        <f t="shared" si="0"/>
        <v>-1306.8525380127758</v>
      </c>
      <c r="H25" s="1">
        <f t="shared" si="1"/>
        <v>1707863.5561104335</v>
      </c>
      <c r="I25" s="1"/>
      <c r="J25">
        <f t="shared" si="3"/>
        <v>555.5</v>
      </c>
      <c r="K25">
        <f t="shared" ref="K25" si="20">J25-$P$6</f>
        <v>1928.7331250000009</v>
      </c>
    </row>
    <row r="26" spans="1:11" x14ac:dyDescent="0.3">
      <c r="A26">
        <v>2016.1</v>
      </c>
      <c r="B26" s="6">
        <v>35233.800000000003</v>
      </c>
      <c r="C26" s="1"/>
      <c r="D26" s="2">
        <v>1</v>
      </c>
      <c r="E26" s="2">
        <v>26</v>
      </c>
      <c r="F26" s="1">
        <f t="shared" si="2"/>
        <v>41553.692879384551</v>
      </c>
      <c r="G26" s="1">
        <f t="shared" si="0"/>
        <v>-6319.892879384548</v>
      </c>
      <c r="H26" s="1">
        <f t="shared" si="1"/>
        <v>39941046.006895512</v>
      </c>
      <c r="I26" s="1"/>
      <c r="J26">
        <f t="shared" si="3"/>
        <v>-4935.6999999999971</v>
      </c>
      <c r="K26">
        <f t="shared" ref="K26" si="21">J26-$P$3</f>
        <v>-1095.4027083333303</v>
      </c>
    </row>
    <row r="27" spans="1:11" x14ac:dyDescent="0.3">
      <c r="A27">
        <v>2016.2</v>
      </c>
      <c r="B27" s="6">
        <v>37936</v>
      </c>
      <c r="C27" s="1"/>
      <c r="D27" s="2">
        <v>1</v>
      </c>
      <c r="E27" s="2">
        <v>27</v>
      </c>
      <c r="F27" s="1">
        <f t="shared" si="2"/>
        <v>41631.177436147453</v>
      </c>
      <c r="G27" s="1">
        <f t="shared" si="0"/>
        <v>-3695.1774361474527</v>
      </c>
      <c r="H27" s="1">
        <f t="shared" si="1"/>
        <v>13654336.284613261</v>
      </c>
      <c r="I27" s="1"/>
      <c r="J27">
        <f t="shared" si="3"/>
        <v>2702.1999999999971</v>
      </c>
      <c r="K27">
        <f t="shared" ref="K27" si="22">J27-$P$4</f>
        <v>-203.91520833333652</v>
      </c>
    </row>
    <row r="28" spans="1:11" x14ac:dyDescent="0.3">
      <c r="A28">
        <v>2016.3</v>
      </c>
      <c r="B28" s="6">
        <v>39732</v>
      </c>
      <c r="C28" s="1"/>
      <c r="D28" s="2">
        <v>1</v>
      </c>
      <c r="E28" s="2">
        <v>28</v>
      </c>
      <c r="F28" s="1">
        <f t="shared" si="2"/>
        <v>41708.806477217855</v>
      </c>
      <c r="G28" s="1">
        <f t="shared" si="0"/>
        <v>-1976.806477217855</v>
      </c>
      <c r="H28" s="1">
        <f t="shared" si="1"/>
        <v>3907763.8483704659</v>
      </c>
      <c r="I28" s="1"/>
      <c r="J28">
        <f t="shared" si="3"/>
        <v>1796</v>
      </c>
      <c r="K28">
        <f t="shared" ref="K28" si="23">J28-$P$5</f>
        <v>-511.41520833333379</v>
      </c>
    </row>
    <row r="29" spans="1:11" x14ac:dyDescent="0.3">
      <c r="A29">
        <v>2016.4</v>
      </c>
      <c r="B29" s="6">
        <v>39113.800000000003</v>
      </c>
      <c r="C29" s="1"/>
      <c r="D29" s="2">
        <v>1</v>
      </c>
      <c r="E29" s="2">
        <v>29</v>
      </c>
      <c r="F29" s="1">
        <f t="shared" si="2"/>
        <v>41786.580272013358</v>
      </c>
      <c r="G29" s="1">
        <f t="shared" si="0"/>
        <v>-2672.780272013355</v>
      </c>
      <c r="H29" s="1">
        <f t="shared" si="1"/>
        <v>7143754.382463784</v>
      </c>
      <c r="I29" s="1"/>
      <c r="J29">
        <f t="shared" si="3"/>
        <v>-618.19999999999709</v>
      </c>
      <c r="K29">
        <f t="shared" ref="K29" si="24">J29-$P$6</f>
        <v>755.03312500000379</v>
      </c>
    </row>
    <row r="30" spans="1:11" x14ac:dyDescent="0.3">
      <c r="A30">
        <v>2017.1</v>
      </c>
      <c r="B30" s="6">
        <v>35997.300000000003</v>
      </c>
      <c r="C30" s="1"/>
      <c r="D30" s="2">
        <v>1</v>
      </c>
      <c r="E30" s="2">
        <v>30</v>
      </c>
      <c r="F30" s="1">
        <f t="shared" si="2"/>
        <v>41864.499090454177</v>
      </c>
      <c r="G30" s="1">
        <f t="shared" si="0"/>
        <v>-5867.1990904541744</v>
      </c>
      <c r="H30" s="1">
        <f t="shared" si="1"/>
        <v>34424025.167026289</v>
      </c>
      <c r="I30" s="1"/>
      <c r="J30">
        <f t="shared" si="3"/>
        <v>-3116.5</v>
      </c>
      <c r="K30">
        <f t="shared" ref="K30" si="25">J30-$P$3</f>
        <v>723.79729166666675</v>
      </c>
    </row>
    <row r="31" spans="1:11" x14ac:dyDescent="0.3">
      <c r="A31">
        <v>2017.2</v>
      </c>
      <c r="B31" s="6">
        <v>38526.1</v>
      </c>
      <c r="C31" s="1"/>
      <c r="D31" s="2">
        <v>1</v>
      </c>
      <c r="E31" s="2">
        <v>31</v>
      </c>
      <c r="F31" s="1">
        <f t="shared" si="2"/>
        <v>41942.563202963756</v>
      </c>
      <c r="G31" s="1">
        <f t="shared" si="0"/>
        <v>-3416.4632029637578</v>
      </c>
      <c r="H31" s="1">
        <f t="shared" si="1"/>
        <v>11672220.817205379</v>
      </c>
      <c r="I31" s="1"/>
      <c r="J31">
        <f t="shared" si="3"/>
        <v>2528.7999999999956</v>
      </c>
      <c r="K31">
        <f t="shared" ref="K31" si="26">J31-$P$4</f>
        <v>-377.31520833333798</v>
      </c>
    </row>
    <row r="32" spans="1:11" x14ac:dyDescent="0.3">
      <c r="A32">
        <v>2017.3</v>
      </c>
      <c r="B32" s="6">
        <v>41277.4</v>
      </c>
      <c r="C32" s="1"/>
      <c r="D32" s="2">
        <v>1</v>
      </c>
      <c r="E32" s="2">
        <v>32</v>
      </c>
      <c r="F32" s="1">
        <f t="shared" si="2"/>
        <v>42020.772880469791</v>
      </c>
      <c r="G32" s="1">
        <f t="shared" si="0"/>
        <v>-743.37288046978938</v>
      </c>
      <c r="H32" s="1">
        <f t="shared" si="1"/>
        <v>552603.23941795179</v>
      </c>
      <c r="I32" s="1"/>
      <c r="J32">
        <f t="shared" si="3"/>
        <v>2751.3000000000029</v>
      </c>
      <c r="K32">
        <f t="shared" ref="K32" si="27">J32-$P$5</f>
        <v>443.88479166666912</v>
      </c>
    </row>
    <row r="33" spans="1:11" x14ac:dyDescent="0.3">
      <c r="A33">
        <v>2017.4</v>
      </c>
      <c r="B33" s="6">
        <v>38981.5</v>
      </c>
      <c r="C33" s="1"/>
      <c r="D33" s="2">
        <v>1</v>
      </c>
      <c r="E33" s="2">
        <v>33</v>
      </c>
      <c r="F33" s="1">
        <f t="shared" si="2"/>
        <v>42099.128394405183</v>
      </c>
      <c r="G33" s="1">
        <f t="shared" si="0"/>
        <v>-3117.6283944051829</v>
      </c>
      <c r="H33" s="1">
        <f t="shared" si="1"/>
        <v>9719606.8056014385</v>
      </c>
      <c r="I33" s="1"/>
      <c r="J33">
        <f t="shared" si="3"/>
        <v>-2295.9000000000015</v>
      </c>
      <c r="K33">
        <f t="shared" ref="K33" si="28">J33-$P$6</f>
        <v>-922.66687500000057</v>
      </c>
    </row>
    <row r="34" spans="1:11" x14ac:dyDescent="0.3">
      <c r="A34">
        <v>2018.1</v>
      </c>
      <c r="B34" s="6">
        <v>36049</v>
      </c>
      <c r="C34" s="1"/>
      <c r="D34" s="2">
        <v>1</v>
      </c>
      <c r="E34" s="2">
        <v>34</v>
      </c>
      <c r="F34" s="1">
        <f t="shared" si="2"/>
        <v>42177.630016708965</v>
      </c>
      <c r="G34" s="1">
        <f t="shared" si="0"/>
        <v>-6128.6300167089648</v>
      </c>
      <c r="H34" s="1">
        <f t="shared" si="1"/>
        <v>37560105.881706126</v>
      </c>
      <c r="I34" s="1"/>
      <c r="J34">
        <f t="shared" si="3"/>
        <v>-2932.5</v>
      </c>
      <c r="K34">
        <f t="shared" ref="K34" si="29">J34-$P$3</f>
        <v>907.79729166666675</v>
      </c>
    </row>
    <row r="35" spans="1:11" x14ac:dyDescent="0.3">
      <c r="A35">
        <v>2018.2</v>
      </c>
      <c r="B35" s="6">
        <v>39184.9</v>
      </c>
      <c r="C35" s="1"/>
      <c r="D35" s="2">
        <v>1</v>
      </c>
      <c r="E35" s="2">
        <v>35</v>
      </c>
      <c r="F35" s="1">
        <f t="shared" si="2"/>
        <v>42256.278019827252</v>
      </c>
      <c r="G35" s="1">
        <f t="shared" si="0"/>
        <v>-3071.3780198272507</v>
      </c>
      <c r="H35" s="1">
        <f t="shared" si="1"/>
        <v>9433362.9406779632</v>
      </c>
      <c r="I35" s="1"/>
      <c r="J35">
        <f t="shared" si="3"/>
        <v>3135.9000000000015</v>
      </c>
      <c r="K35">
        <f t="shared" ref="K35" si="30">J35-$P$4</f>
        <v>229.78479166666784</v>
      </c>
    </row>
    <row r="36" spans="1:11" x14ac:dyDescent="0.3">
      <c r="A36">
        <v>2018.3</v>
      </c>
      <c r="B36" s="6">
        <v>41724.6</v>
      </c>
      <c r="C36" s="1"/>
      <c r="D36" s="2">
        <v>1</v>
      </c>
      <c r="E36" s="2">
        <v>36</v>
      </c>
      <c r="F36" s="1">
        <f t="shared" si="2"/>
        <v>42335.072676714262</v>
      </c>
      <c r="G36" s="1">
        <f t="shared" si="0"/>
        <v>-610.4726767142638</v>
      </c>
      <c r="H36" s="1">
        <f t="shared" si="1"/>
        <v>372676.88901467802</v>
      </c>
      <c r="I36" s="1"/>
      <c r="J36">
        <f t="shared" si="3"/>
        <v>2539.6999999999971</v>
      </c>
      <c r="K36">
        <f t="shared" ref="K36" si="31">J36-$P$5</f>
        <v>232.2847916666633</v>
      </c>
    </row>
    <row r="37" spans="1:11" x14ac:dyDescent="0.3">
      <c r="A37">
        <v>2018.4</v>
      </c>
      <c r="B37" s="6">
        <v>39676.400000000001</v>
      </c>
      <c r="C37" s="1"/>
      <c r="D37" s="2">
        <v>1</v>
      </c>
      <c r="E37" s="2">
        <v>37</v>
      </c>
      <c r="F37" s="1">
        <f t="shared" si="2"/>
        <v>42414.014260832955</v>
      </c>
      <c r="G37" s="1">
        <f t="shared" si="0"/>
        <v>-2737.6142608329537</v>
      </c>
      <c r="H37" s="1">
        <f t="shared" si="1"/>
        <v>7494531.8411159599</v>
      </c>
      <c r="I37" s="1"/>
      <c r="J37">
        <f t="shared" si="3"/>
        <v>-2048.1999999999971</v>
      </c>
      <c r="K37">
        <f t="shared" ref="K37" si="32">J37-$P$6</f>
        <v>-674.96687499999621</v>
      </c>
    </row>
    <row r="38" spans="1:11" x14ac:dyDescent="0.3">
      <c r="A38">
        <v>2019.1</v>
      </c>
      <c r="B38" s="6">
        <v>36562.699999999997</v>
      </c>
      <c r="C38" s="1"/>
      <c r="D38" s="2">
        <v>1</v>
      </c>
      <c r="E38" s="2">
        <v>38</v>
      </c>
      <c r="F38" s="1">
        <f t="shared" si="2"/>
        <v>42493.103046156451</v>
      </c>
      <c r="G38" s="1">
        <f t="shared" si="0"/>
        <v>-5930.4030461564544</v>
      </c>
      <c r="H38" s="1">
        <f t="shared" si="1"/>
        <v>35169680.289861754</v>
      </c>
      <c r="I38" s="1"/>
      <c r="J38">
        <f t="shared" si="3"/>
        <v>-3113.7000000000044</v>
      </c>
      <c r="K38">
        <f t="shared" ref="K38" si="33">J38-$P$3</f>
        <v>726.59729166666239</v>
      </c>
    </row>
    <row r="39" spans="1:11" x14ac:dyDescent="0.3">
      <c r="A39">
        <v>2019.2</v>
      </c>
      <c r="B39" s="6">
        <v>40409.9</v>
      </c>
      <c r="C39" s="1"/>
      <c r="D39" s="2">
        <v>1</v>
      </c>
      <c r="E39" s="2">
        <v>39</v>
      </c>
      <c r="F39" s="1">
        <f t="shared" si="2"/>
        <v>42572.339307168644</v>
      </c>
      <c r="G39" s="1">
        <f t="shared" si="0"/>
        <v>-2162.4393071686427</v>
      </c>
      <c r="H39" s="1">
        <f t="shared" si="1"/>
        <v>4676143.7571879998</v>
      </c>
      <c r="I39" s="1"/>
      <c r="J39">
        <f t="shared" si="3"/>
        <v>3847.2000000000044</v>
      </c>
      <c r="K39">
        <f t="shared" ref="K39" si="34">J39-$P$4</f>
        <v>941.08479166667075</v>
      </c>
    </row>
    <row r="40" spans="1:11" x14ac:dyDescent="0.3">
      <c r="A40">
        <v>2019.3</v>
      </c>
      <c r="B40" s="6">
        <v>43406.8</v>
      </c>
      <c r="C40" s="1"/>
      <c r="D40" s="2">
        <v>1</v>
      </c>
      <c r="E40" s="2">
        <v>40</v>
      </c>
      <c r="F40" s="1">
        <f t="shared" si="2"/>
        <v>42651.72331886529</v>
      </c>
      <c r="G40" s="1">
        <f t="shared" si="0"/>
        <v>755.076681134713</v>
      </c>
      <c r="H40" s="1">
        <f t="shared" si="1"/>
        <v>570140.794393413</v>
      </c>
      <c r="I40" s="1"/>
      <c r="J40">
        <f t="shared" si="3"/>
        <v>2996.9000000000015</v>
      </c>
      <c r="K40">
        <f t="shared" ref="K40" si="35">J40-$P$5</f>
        <v>689.48479166666766</v>
      </c>
    </row>
    <row r="41" spans="1:11" x14ac:dyDescent="0.3">
      <c r="A41">
        <v>2019.4</v>
      </c>
      <c r="B41" s="6">
        <v>40353.199999999997</v>
      </c>
      <c r="C41" s="1"/>
      <c r="D41" s="2">
        <v>1</v>
      </c>
      <c r="E41" s="2">
        <v>41</v>
      </c>
      <c r="F41" s="1">
        <f t="shared" si="2"/>
        <v>42731.255356754889</v>
      </c>
      <c r="G41" s="1">
        <f t="shared" si="0"/>
        <v>-2378.0553567548923</v>
      </c>
      <c r="H41" s="1">
        <f t="shared" si="1"/>
        <v>5655147.279790638</v>
      </c>
      <c r="I41" s="1"/>
      <c r="J41">
        <f t="shared" si="3"/>
        <v>-3053.6000000000058</v>
      </c>
      <c r="K41">
        <f t="shared" ref="K41" si="36">J41-$P$6</f>
        <v>-1680.3668750000049</v>
      </c>
    </row>
    <row r="42" spans="1:11" x14ac:dyDescent="0.3">
      <c r="A42">
        <v>2020.1</v>
      </c>
      <c r="B42" s="6">
        <v>36283.300000000003</v>
      </c>
      <c r="C42" s="1"/>
      <c r="D42" s="2">
        <v>1</v>
      </c>
      <c r="E42" s="2">
        <v>42</v>
      </c>
      <c r="F42" s="1">
        <f t="shared" si="2"/>
        <v>42810.935696859706</v>
      </c>
      <c r="G42" s="1">
        <f t="shared" si="0"/>
        <v>-6527.6356968597029</v>
      </c>
      <c r="H42" s="1">
        <f t="shared" si="1"/>
        <v>42610027.790917061</v>
      </c>
      <c r="I42" s="1"/>
      <c r="J42">
        <f t="shared" si="3"/>
        <v>-4069.8999999999942</v>
      </c>
      <c r="K42">
        <f t="shared" ref="K42" si="37">J42-$P$3</f>
        <v>-229.60270833332743</v>
      </c>
    </row>
    <row r="43" spans="1:11" x14ac:dyDescent="0.3">
      <c r="A43">
        <v>2020.2</v>
      </c>
      <c r="B43" s="6">
        <v>34354.5</v>
      </c>
      <c r="C43" s="1"/>
      <c r="D43" s="2">
        <v>1</v>
      </c>
      <c r="E43" s="2">
        <v>43</v>
      </c>
      <c r="F43" s="1">
        <f t="shared" si="2"/>
        <v>42890.764615716682</v>
      </c>
      <c r="G43" s="1">
        <f t="shared" si="0"/>
        <v>-8536.2646157166819</v>
      </c>
      <c r="H43" s="1">
        <f t="shared" si="1"/>
        <v>72867813.589536667</v>
      </c>
      <c r="I43" s="1"/>
      <c r="J43">
        <f t="shared" si="3"/>
        <v>-1928.8000000000029</v>
      </c>
      <c r="K43">
        <f t="shared" ref="K43" si="38">J43-$P$4</f>
        <v>-4834.9152083333365</v>
      </c>
    </row>
    <row r="44" spans="1:11" x14ac:dyDescent="0.3">
      <c r="A44">
        <v>2020.3</v>
      </c>
      <c r="B44" s="6">
        <v>39026.300000000003</v>
      </c>
      <c r="C44" s="1"/>
      <c r="D44" s="2">
        <v>1</v>
      </c>
      <c r="E44" s="2">
        <v>44</v>
      </c>
      <c r="F44" s="1">
        <f t="shared" si="2"/>
        <v>42970.742390378502</v>
      </c>
      <c r="G44" s="1">
        <f t="shared" si="0"/>
        <v>-3944.4423903784991</v>
      </c>
      <c r="H44" s="1">
        <f t="shared" si="1"/>
        <v>15558625.771014849</v>
      </c>
      <c r="I44" s="1"/>
      <c r="J44">
        <f t="shared" si="3"/>
        <v>4671.8000000000029</v>
      </c>
      <c r="K44">
        <f t="shared" ref="K44" si="39">J44-$P$5</f>
        <v>2364.3847916666691</v>
      </c>
    </row>
    <row r="45" spans="1:11" x14ac:dyDescent="0.3">
      <c r="A45">
        <v>2020.4</v>
      </c>
      <c r="B45" s="6">
        <v>37572.199999999997</v>
      </c>
      <c r="C45" s="1"/>
      <c r="D45" s="2">
        <v>1</v>
      </c>
      <c r="E45" s="2">
        <v>45</v>
      </c>
      <c r="F45" s="1">
        <f t="shared" si="2"/>
        <v>43050.869298414225</v>
      </c>
      <c r="G45" s="1">
        <f t="shared" si="0"/>
        <v>-5478.6692984142283</v>
      </c>
      <c r="H45" s="1">
        <f t="shared" si="1"/>
        <v>30015817.281386651</v>
      </c>
      <c r="I45" s="1"/>
      <c r="J45">
        <f t="shared" si="3"/>
        <v>-1454.1000000000058</v>
      </c>
      <c r="K45">
        <f t="shared" ref="K45" si="40">J45-$P$6</f>
        <v>-80.866875000004939</v>
      </c>
    </row>
    <row r="46" spans="1:11" x14ac:dyDescent="0.3">
      <c r="A46">
        <v>2021.1</v>
      </c>
      <c r="B46" s="6">
        <v>35500.300000000003</v>
      </c>
      <c r="C46" s="1"/>
      <c r="D46" s="2">
        <v>1</v>
      </c>
      <c r="E46" s="2">
        <v>46</v>
      </c>
      <c r="F46" s="1">
        <f t="shared" si="2"/>
        <v>43131.145617910734</v>
      </c>
      <c r="G46" s="1">
        <f t="shared" si="0"/>
        <v>-7630.8456179107307</v>
      </c>
      <c r="H46" s="1">
        <f t="shared" si="1"/>
        <v>58229804.844387397</v>
      </c>
      <c r="I46" s="1"/>
      <c r="J46">
        <f t="shared" si="3"/>
        <v>-2071.8999999999942</v>
      </c>
      <c r="K46">
        <f t="shared" ref="K46" si="41">J46-$P$3</f>
        <v>1768.3972916666726</v>
      </c>
    </row>
    <row r="47" spans="1:11" x14ac:dyDescent="0.3">
      <c r="A47">
        <v>2021.2</v>
      </c>
      <c r="B47" s="6">
        <v>39015.699999999997</v>
      </c>
      <c r="C47" s="1"/>
      <c r="D47" s="2">
        <v>1</v>
      </c>
      <c r="E47" s="2">
        <v>47</v>
      </c>
      <c r="F47" s="1">
        <f t="shared" si="2"/>
        <v>43211.571627473357</v>
      </c>
      <c r="G47" s="1">
        <f t="shared" si="0"/>
        <v>-4195.8716274733597</v>
      </c>
      <c r="H47" s="1">
        <f t="shared" si="1"/>
        <v>17605338.714235939</v>
      </c>
      <c r="I47" s="1"/>
      <c r="J47">
        <f t="shared" si="3"/>
        <v>3515.3999999999942</v>
      </c>
      <c r="K47">
        <f t="shared" ref="K47" si="42">J47-$P$4</f>
        <v>609.28479166666057</v>
      </c>
    </row>
    <row r="48" spans="1:11" x14ac:dyDescent="0.3">
      <c r="A48">
        <v>2021.3</v>
      </c>
      <c r="B48" s="6">
        <v>44025.3</v>
      </c>
      <c r="C48" s="1"/>
      <c r="D48" s="2">
        <v>1</v>
      </c>
      <c r="E48" s="2">
        <v>48</v>
      </c>
      <c r="F48" s="1">
        <f t="shared" si="2"/>
        <v>43292.147606226958</v>
      </c>
      <c r="G48" s="1">
        <f t="shared" si="0"/>
        <v>733.15239377304533</v>
      </c>
      <c r="H48" s="1">
        <f t="shared" si="1"/>
        <v>537512.43249514652</v>
      </c>
      <c r="I48" s="1"/>
      <c r="J48">
        <f t="shared" si="3"/>
        <v>5009.6000000000058</v>
      </c>
      <c r="K48">
        <f t="shared" ref="K48" si="43">J48-$P$5</f>
        <v>2702.184791666672</v>
      </c>
    </row>
    <row r="49" spans="1:11" x14ac:dyDescent="0.3">
      <c r="A49">
        <v>2021.4</v>
      </c>
      <c r="B49" s="6">
        <v>42474.1</v>
      </c>
      <c r="C49" s="1"/>
      <c r="D49" s="2">
        <v>1</v>
      </c>
      <c r="E49" s="2">
        <v>49</v>
      </c>
      <c r="F49" s="1">
        <f t="shared" si="2"/>
        <v>43372.87383381687</v>
      </c>
      <c r="G49" s="1">
        <f t="shared" si="0"/>
        <v>-898.77383381687105</v>
      </c>
      <c r="H49" s="1">
        <f t="shared" si="1"/>
        <v>807794.40435387648</v>
      </c>
      <c r="I49" s="1"/>
      <c r="J49">
        <f t="shared" si="3"/>
        <v>-1551.2000000000044</v>
      </c>
      <c r="K49">
        <f t="shared" ref="K49" si="44">J49-$P$6</f>
        <v>-177.96687500000348</v>
      </c>
    </row>
    <row r="50" spans="1:11" x14ac:dyDescent="0.3">
      <c r="A50">
        <v>2022.1</v>
      </c>
      <c r="B50" s="6">
        <v>40446.6</v>
      </c>
      <c r="C50" s="1"/>
      <c r="D50" s="2">
        <v>1</v>
      </c>
      <c r="E50" s="2">
        <v>50</v>
      </c>
      <c r="F50" s="1">
        <f t="shared" si="2"/>
        <v>43453.75059040988</v>
      </c>
      <c r="G50" s="1">
        <f t="shared" si="0"/>
        <v>-3007.1505904098813</v>
      </c>
      <c r="H50" s="1">
        <f t="shared" si="1"/>
        <v>9042954.6734024975</v>
      </c>
      <c r="I50" s="1"/>
      <c r="J50">
        <f t="shared" si="3"/>
        <v>-2027.5</v>
      </c>
      <c r="K50">
        <f t="shared" ref="K50" si="45">J50-$P$3</f>
        <v>1812.7972916666668</v>
      </c>
    </row>
    <row r="51" spans="1:11" x14ac:dyDescent="0.3">
      <c r="A51">
        <v>2022.2</v>
      </c>
      <c r="B51" s="6">
        <v>44851.1</v>
      </c>
      <c r="C51" s="1"/>
      <c r="D51" s="2">
        <v>1</v>
      </c>
      <c r="E51" s="2">
        <v>51</v>
      </c>
      <c r="F51" s="1">
        <f t="shared" si="2"/>
        <v>43534.778156695182</v>
      </c>
      <c r="G51" s="1">
        <f t="shared" si="0"/>
        <v>1316.3218433048169</v>
      </c>
      <c r="H51" s="1">
        <f t="shared" si="1"/>
        <v>1732703.1951613908</v>
      </c>
      <c r="I51" s="1"/>
      <c r="J51">
        <f t="shared" si="3"/>
        <v>4404.5</v>
      </c>
      <c r="K51">
        <f t="shared" ref="K51" si="46">J51-$P$4</f>
        <v>1498.3847916666664</v>
      </c>
    </row>
    <row r="52" spans="1:11" x14ac:dyDescent="0.3">
      <c r="A52">
        <v>2022.3</v>
      </c>
      <c r="B52" s="6">
        <v>50374.1</v>
      </c>
      <c r="C52" s="1"/>
      <c r="D52" s="2">
        <v>1</v>
      </c>
      <c r="E52" s="2">
        <v>52</v>
      </c>
      <c r="F52" s="1">
        <f t="shared" si="2"/>
        <v>43615.956813885467</v>
      </c>
      <c r="G52" s="1">
        <f t="shared" si="0"/>
        <v>6758.143186114532</v>
      </c>
      <c r="H52" s="1">
        <f t="shared" si="1"/>
        <v>45672499.324026279</v>
      </c>
      <c r="I52" s="1"/>
      <c r="J52">
        <f t="shared" si="3"/>
        <v>5523</v>
      </c>
      <c r="K52">
        <f t="shared" ref="K52" si="47">J52-$P$5</f>
        <v>3215.5847916666662</v>
      </c>
    </row>
    <row r="53" spans="1:11" x14ac:dyDescent="0.3">
      <c r="A53">
        <v>2022.4</v>
      </c>
      <c r="B53" s="6">
        <v>47736.9</v>
      </c>
      <c r="C53" s="1"/>
      <c r="D53" s="2">
        <v>1</v>
      </c>
      <c r="E53" s="2">
        <v>53</v>
      </c>
      <c r="F53" s="1">
        <f t="shared" si="2"/>
        <v>43697.286843717549</v>
      </c>
      <c r="G53" s="1">
        <f t="shared" si="0"/>
        <v>4039.6131562824521</v>
      </c>
      <c r="H53" s="1">
        <f t="shared" si="1"/>
        <v>16318474.452410275</v>
      </c>
      <c r="I53" s="1"/>
      <c r="J53">
        <f t="shared" si="3"/>
        <v>-2637.1999999999971</v>
      </c>
      <c r="K53">
        <f t="shared" ref="K53" si="48">J53-$P$6</f>
        <v>-1263.9668749999962</v>
      </c>
    </row>
    <row r="54" spans="1:11" x14ac:dyDescent="0.3">
      <c r="A54">
        <v>2023.1</v>
      </c>
      <c r="B54" s="6">
        <v>44156.9</v>
      </c>
      <c r="C54" s="1"/>
      <c r="D54" s="2">
        <v>1</v>
      </c>
      <c r="E54" s="2">
        <v>54</v>
      </c>
      <c r="F54" s="1">
        <f t="shared" si="2"/>
        <v>43778.768528453838</v>
      </c>
      <c r="G54" s="1">
        <f t="shared" si="0"/>
        <v>378.13147154616308</v>
      </c>
      <c r="H54" s="1">
        <f t="shared" si="1"/>
        <v>142983.40977366673</v>
      </c>
      <c r="I54" s="1"/>
      <c r="J54">
        <f t="shared" si="3"/>
        <v>-3580</v>
      </c>
      <c r="K54">
        <f t="shared" ref="K54" si="49">J54-$P$3</f>
        <v>260.29729166666675</v>
      </c>
    </row>
    <row r="55" spans="1:11" x14ac:dyDescent="0.3">
      <c r="A55">
        <v>2023.2</v>
      </c>
      <c r="B55" s="6">
        <v>48505.9</v>
      </c>
      <c r="C55" s="1"/>
      <c r="D55" s="2">
        <v>1</v>
      </c>
      <c r="E55" s="2">
        <v>55</v>
      </c>
      <c r="F55" s="1">
        <f t="shared" si="2"/>
        <v>43860.402150882997</v>
      </c>
      <c r="G55" s="1">
        <f t="shared" si="0"/>
        <v>4645.4978491170041</v>
      </c>
      <c r="H55" s="1">
        <f t="shared" si="1"/>
        <v>21580650.266150713</v>
      </c>
      <c r="I55" s="1"/>
      <c r="J55">
        <f t="shared" si="3"/>
        <v>4349</v>
      </c>
      <c r="K55">
        <f t="shared" ref="K55" si="50">J55-$P$4</f>
        <v>1442.8847916666664</v>
      </c>
    </row>
    <row r="56" spans="1:11" x14ac:dyDescent="0.3">
      <c r="A56">
        <v>2023.3</v>
      </c>
      <c r="B56" s="6">
        <v>53448.4</v>
      </c>
      <c r="C56" s="1"/>
      <c r="D56" s="2">
        <v>1</v>
      </c>
      <c r="E56" s="2">
        <v>56</v>
      </c>
      <c r="F56" s="1">
        <f t="shared" si="2"/>
        <v>43942.187994320986</v>
      </c>
      <c r="G56" s="1">
        <f t="shared" si="0"/>
        <v>9506.2120056790154</v>
      </c>
      <c r="H56" s="1">
        <f t="shared" si="1"/>
        <v>90368066.69691585</v>
      </c>
      <c r="I56" s="1"/>
      <c r="J56">
        <f t="shared" si="3"/>
        <v>4942.5</v>
      </c>
      <c r="K56">
        <f t="shared" ref="K56" si="51">J56-$P$5</f>
        <v>2635.0847916666662</v>
      </c>
    </row>
    <row r="57" spans="1:11" x14ac:dyDescent="0.3">
      <c r="A57">
        <v>2023.4</v>
      </c>
      <c r="B57" s="6">
        <v>50416.9</v>
      </c>
      <c r="C57" s="1"/>
      <c r="D57" s="2">
        <v>1</v>
      </c>
      <c r="E57" s="2">
        <v>57</v>
      </c>
      <c r="F57" s="1">
        <f t="shared" si="2"/>
        <v>44024.126342612079</v>
      </c>
      <c r="G57" s="1">
        <f t="shared" si="0"/>
        <v>6392.7736573879229</v>
      </c>
      <c r="H57" s="1">
        <f t="shared" si="1"/>
        <v>40867555.034592956</v>
      </c>
      <c r="I57" s="1"/>
      <c r="J57">
        <f t="shared" si="3"/>
        <v>-3031.5</v>
      </c>
      <c r="K57">
        <f t="shared" ref="K57" si="52">J57-$P$6</f>
        <v>-1658.2668749999991</v>
      </c>
    </row>
    <row r="58" spans="1:11" x14ac:dyDescent="0.3">
      <c r="A58">
        <v>2024.1</v>
      </c>
      <c r="B58" s="6">
        <v>45905.4</v>
      </c>
      <c r="C58" s="1"/>
      <c r="D58" s="2">
        <v>1</v>
      </c>
      <c r="E58" s="2">
        <v>58</v>
      </c>
      <c r="F58" s="1">
        <f t="shared" si="2"/>
        <v>44106.21748012981</v>
      </c>
      <c r="G58" s="1">
        <f t="shared" si="0"/>
        <v>1799.1825198701918</v>
      </c>
      <c r="H58" s="1">
        <f t="shared" si="1"/>
        <v>3237057.7398064528</v>
      </c>
      <c r="I58" s="1"/>
      <c r="J58">
        <f t="shared" si="3"/>
        <v>-4511.5</v>
      </c>
      <c r="K58">
        <f t="shared" ref="K58" si="53">J58-$P$3</f>
        <v>-671.20270833333325</v>
      </c>
    </row>
    <row r="59" spans="1:11" x14ac:dyDescent="0.3">
      <c r="A59">
        <v>2024.2</v>
      </c>
      <c r="B59" s="6">
        <v>51005</v>
      </c>
      <c r="C59" s="1"/>
      <c r="D59" s="2">
        <v>1</v>
      </c>
      <c r="E59" s="2">
        <v>59</v>
      </c>
      <c r="F59" s="1">
        <f t="shared" si="2"/>
        <v>44188.461691777993</v>
      </c>
      <c r="G59" s="1">
        <f t="shared" si="0"/>
        <v>6816.5383082220069</v>
      </c>
      <c r="H59" s="1">
        <f t="shared" si="1"/>
        <v>46465194.507458143</v>
      </c>
      <c r="I59" s="1"/>
      <c r="J59">
        <f t="shared" si="3"/>
        <v>5099.5999999999985</v>
      </c>
      <c r="K59">
        <f t="shared" ref="K59" si="54">J59-$P$4</f>
        <v>2193.4847916666649</v>
      </c>
    </row>
    <row r="60" spans="1:11" x14ac:dyDescent="0.3">
      <c r="A60">
        <v>2024.3</v>
      </c>
      <c r="B60" s="6">
        <v>56074</v>
      </c>
      <c r="C60" s="1"/>
      <c r="D60" s="2">
        <v>1</v>
      </c>
      <c r="E60" s="2">
        <v>60</v>
      </c>
      <c r="F60" s="1">
        <f t="shared" si="2"/>
        <v>44270.859262991784</v>
      </c>
      <c r="G60" s="1">
        <f t="shared" si="0"/>
        <v>11803.140737008216</v>
      </c>
      <c r="H60" s="1">
        <f t="shared" si="1"/>
        <v>139314131.25762287</v>
      </c>
      <c r="I60" s="1"/>
      <c r="J60">
        <f t="shared" si="3"/>
        <v>5069</v>
      </c>
      <c r="K60">
        <f t="shared" ref="K60" si="55">J60-$P$5</f>
        <v>2761.5847916666662</v>
      </c>
    </row>
    <row r="61" spans="1:11" x14ac:dyDescent="0.3">
      <c r="A61">
        <v>2024.4</v>
      </c>
      <c r="B61" s="6">
        <v>52936</v>
      </c>
      <c r="C61" s="1"/>
      <c r="D61" s="2">
        <v>1</v>
      </c>
      <c r="E61" s="2">
        <v>61</v>
      </c>
      <c r="F61" s="1">
        <f t="shared" si="2"/>
        <v>44353.410479738333</v>
      </c>
      <c r="G61" s="1">
        <f t="shared" si="0"/>
        <v>8582.5895202616666</v>
      </c>
      <c r="H61" s="1">
        <f t="shared" si="1"/>
        <v>73660842.87330538</v>
      </c>
      <c r="I61" s="1"/>
      <c r="J61">
        <f t="shared" si="3"/>
        <v>-3138</v>
      </c>
      <c r="K61">
        <f t="shared" ref="K61" si="56">J61-$P$6</f>
        <v>-1764.7668749999991</v>
      </c>
    </row>
    <row r="62" spans="1:11" x14ac:dyDescent="0.3">
      <c r="A62">
        <v>2025.1</v>
      </c>
      <c r="B62" s="6">
        <v>47907.8</v>
      </c>
      <c r="C62" s="1"/>
      <c r="D62" s="2">
        <v>1</v>
      </c>
      <c r="E62" s="2">
        <v>62</v>
      </c>
      <c r="F62" s="1">
        <f t="shared" si="2"/>
        <v>44436.115628518273</v>
      </c>
      <c r="G62" s="1">
        <f t="shared" si="0"/>
        <v>3471.6843714817296</v>
      </c>
      <c r="H62" s="1">
        <f t="shared" si="1"/>
        <v>12052592.375190493</v>
      </c>
      <c r="I62" s="1"/>
      <c r="J62">
        <f t="shared" si="3"/>
        <v>-5028.1999999999971</v>
      </c>
      <c r="K62">
        <f t="shared" ref="K62" si="57">J62-$P$3</f>
        <v>-1187.9027083333303</v>
      </c>
    </row>
    <row r="63" spans="1:11" x14ac:dyDescent="0.3">
      <c r="A63">
        <v>2025.2</v>
      </c>
      <c r="B63" s="6">
        <v>53716</v>
      </c>
      <c r="C63" s="1"/>
      <c r="D63" s="2">
        <v>1</v>
      </c>
      <c r="E63" s="2">
        <v>63</v>
      </c>
      <c r="F63" s="1">
        <f t="shared" si="2"/>
        <v>44518.974996366393</v>
      </c>
      <c r="G63" s="1">
        <f t="shared" si="0"/>
        <v>9197.0250036336074</v>
      </c>
      <c r="H63" s="1">
        <f t="shared" si="1"/>
        <v>84585268.917461753</v>
      </c>
      <c r="I63" s="1"/>
      <c r="J63">
        <f t="shared" si="3"/>
        <v>5808.1999999999971</v>
      </c>
      <c r="K63">
        <f t="shared" ref="K63" si="58">J63-$P$4</f>
        <v>2902.0847916666635</v>
      </c>
    </row>
    <row r="64" spans="1:11" x14ac:dyDescent="0.3">
      <c r="A64" s="1"/>
    </row>
    <row r="65" spans="2:65" x14ac:dyDescent="0.3">
      <c r="B65" s="1">
        <f>AVERAGE(B2:B63)</f>
        <v>42373.20161290322</v>
      </c>
      <c r="C65" s="1"/>
      <c r="D65" s="1"/>
      <c r="E65" s="1"/>
      <c r="F65" s="1"/>
      <c r="G65" s="1"/>
      <c r="H65" s="3">
        <f>SUM(H2:H63)</f>
        <v>1573257002.3829103</v>
      </c>
      <c r="I65" s="1"/>
    </row>
    <row r="66" spans="2:65" x14ac:dyDescent="0.3">
      <c r="D66" s="3"/>
      <c r="E66" s="3"/>
      <c r="F66" s="3"/>
      <c r="G66" s="3"/>
      <c r="H66" s="3"/>
      <c r="I66" s="3"/>
      <c r="J66" s="3"/>
      <c r="K66" s="3"/>
    </row>
    <row r="68" spans="2:65" x14ac:dyDescent="0.3">
      <c r="D68" s="4" cm="1">
        <f t="array" ref="D68:BM69">TRANSPOSE(D2:E63)</f>
        <v>1</v>
      </c>
      <c r="E68" s="4">
        <v>1</v>
      </c>
      <c r="F68" s="4">
        <v>1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>
        <v>1</v>
      </c>
      <c r="M68" s="4">
        <v>1</v>
      </c>
      <c r="N68" s="4">
        <v>1</v>
      </c>
      <c r="O68" s="4">
        <v>1</v>
      </c>
      <c r="P68" s="4">
        <v>1</v>
      </c>
      <c r="Q68" s="4">
        <v>1</v>
      </c>
      <c r="R68" s="4">
        <v>1</v>
      </c>
      <c r="S68" s="4">
        <v>1</v>
      </c>
      <c r="T68" s="4">
        <v>1</v>
      </c>
      <c r="U68" s="4">
        <v>1</v>
      </c>
      <c r="V68" s="4">
        <v>1</v>
      </c>
      <c r="W68" s="4">
        <v>1</v>
      </c>
      <c r="X68" s="4">
        <v>1</v>
      </c>
      <c r="Y68" s="4">
        <v>1</v>
      </c>
      <c r="Z68" s="4">
        <v>1</v>
      </c>
      <c r="AA68" s="4">
        <v>1</v>
      </c>
      <c r="AB68" s="4">
        <v>1</v>
      </c>
      <c r="AC68" s="4">
        <v>1</v>
      </c>
      <c r="AD68" s="4">
        <v>1</v>
      </c>
      <c r="AE68" s="4">
        <v>1</v>
      </c>
      <c r="AF68" s="4">
        <v>1</v>
      </c>
      <c r="AG68" s="4">
        <v>1</v>
      </c>
      <c r="AH68" s="4">
        <v>1</v>
      </c>
      <c r="AI68" s="4">
        <v>1</v>
      </c>
      <c r="AJ68" s="4">
        <v>1</v>
      </c>
      <c r="AK68" s="4">
        <v>1</v>
      </c>
      <c r="AL68" s="4">
        <v>1</v>
      </c>
      <c r="AM68" s="4">
        <v>1</v>
      </c>
      <c r="AN68" s="4">
        <v>1</v>
      </c>
      <c r="AO68" s="4">
        <v>1</v>
      </c>
      <c r="AP68" s="4">
        <v>1</v>
      </c>
      <c r="AQ68" s="4">
        <v>1</v>
      </c>
      <c r="AR68" s="4">
        <v>1</v>
      </c>
      <c r="AS68" s="4">
        <v>1</v>
      </c>
      <c r="AT68" s="4">
        <v>1</v>
      </c>
      <c r="AU68" s="4">
        <v>1</v>
      </c>
      <c r="AV68" s="4">
        <v>1</v>
      </c>
      <c r="AW68" s="4">
        <v>1</v>
      </c>
      <c r="AX68" s="4">
        <v>1</v>
      </c>
      <c r="AY68" s="4">
        <v>1</v>
      </c>
      <c r="AZ68" s="4">
        <v>1</v>
      </c>
      <c r="BA68" s="4">
        <v>1</v>
      </c>
      <c r="BB68" s="4">
        <v>1</v>
      </c>
      <c r="BC68" s="4">
        <v>1</v>
      </c>
      <c r="BD68" s="4">
        <v>1</v>
      </c>
      <c r="BE68" s="4">
        <v>1</v>
      </c>
      <c r="BF68" s="4">
        <v>1</v>
      </c>
      <c r="BG68" s="4">
        <v>1</v>
      </c>
      <c r="BH68" s="4">
        <v>1</v>
      </c>
      <c r="BI68" s="4">
        <v>1</v>
      </c>
      <c r="BJ68" s="4">
        <v>1</v>
      </c>
      <c r="BK68" s="4">
        <v>1</v>
      </c>
      <c r="BL68" s="4">
        <v>1</v>
      </c>
      <c r="BM68" s="4">
        <v>1</v>
      </c>
    </row>
    <row r="69" spans="2:65" x14ac:dyDescent="0.3">
      <c r="D69" s="4">
        <v>2</v>
      </c>
      <c r="E69" s="4">
        <v>3</v>
      </c>
      <c r="F69" s="4">
        <v>4</v>
      </c>
      <c r="G69" s="4">
        <v>5</v>
      </c>
      <c r="H69" s="4">
        <v>6</v>
      </c>
      <c r="I69" s="4">
        <v>7</v>
      </c>
      <c r="J69" s="4">
        <v>8</v>
      </c>
      <c r="K69" s="4">
        <v>9</v>
      </c>
      <c r="L69" s="4">
        <v>10</v>
      </c>
      <c r="M69" s="4">
        <v>11</v>
      </c>
      <c r="N69" s="4">
        <v>12</v>
      </c>
      <c r="O69" s="4">
        <v>13</v>
      </c>
      <c r="P69" s="4">
        <v>14</v>
      </c>
      <c r="Q69" s="4">
        <v>15</v>
      </c>
      <c r="R69" s="4">
        <v>16</v>
      </c>
      <c r="S69" s="4">
        <v>17</v>
      </c>
      <c r="T69" s="4">
        <v>18</v>
      </c>
      <c r="U69" s="4">
        <v>19</v>
      </c>
      <c r="V69" s="4">
        <v>20</v>
      </c>
      <c r="W69" s="4">
        <v>21</v>
      </c>
      <c r="X69" s="4">
        <v>22</v>
      </c>
      <c r="Y69" s="4">
        <v>23</v>
      </c>
      <c r="Z69" s="4">
        <v>24</v>
      </c>
      <c r="AA69" s="4">
        <v>25</v>
      </c>
      <c r="AB69" s="4">
        <v>26</v>
      </c>
      <c r="AC69" s="4">
        <v>27</v>
      </c>
      <c r="AD69" s="4">
        <v>28</v>
      </c>
      <c r="AE69" s="4">
        <v>29</v>
      </c>
      <c r="AF69" s="4">
        <v>30</v>
      </c>
      <c r="AG69" s="4">
        <v>31</v>
      </c>
      <c r="AH69" s="4">
        <v>32</v>
      </c>
      <c r="AI69" s="4">
        <v>33</v>
      </c>
      <c r="AJ69" s="4">
        <v>34</v>
      </c>
      <c r="AK69" s="4">
        <v>35</v>
      </c>
      <c r="AL69" s="4">
        <v>36</v>
      </c>
      <c r="AM69" s="4">
        <v>37</v>
      </c>
      <c r="AN69" s="4">
        <v>38</v>
      </c>
      <c r="AO69" s="4">
        <v>39</v>
      </c>
      <c r="AP69" s="4">
        <v>40</v>
      </c>
      <c r="AQ69" s="4">
        <v>41</v>
      </c>
      <c r="AR69" s="4">
        <v>42</v>
      </c>
      <c r="AS69" s="4">
        <v>43</v>
      </c>
      <c r="AT69" s="4">
        <v>44</v>
      </c>
      <c r="AU69" s="4">
        <v>45</v>
      </c>
      <c r="AV69" s="4">
        <v>46</v>
      </c>
      <c r="AW69" s="4">
        <v>47</v>
      </c>
      <c r="AX69" s="4">
        <v>48</v>
      </c>
      <c r="AY69" s="4">
        <v>49</v>
      </c>
      <c r="AZ69" s="4">
        <v>50</v>
      </c>
      <c r="BA69" s="4">
        <v>51</v>
      </c>
      <c r="BB69" s="4">
        <v>52</v>
      </c>
      <c r="BC69" s="4">
        <v>53</v>
      </c>
      <c r="BD69" s="4">
        <v>54</v>
      </c>
      <c r="BE69" s="4">
        <v>55</v>
      </c>
      <c r="BF69" s="4">
        <v>56</v>
      </c>
      <c r="BG69" s="4">
        <v>57</v>
      </c>
      <c r="BH69" s="4">
        <v>58</v>
      </c>
      <c r="BI69" s="4">
        <v>59</v>
      </c>
      <c r="BJ69" s="4">
        <v>60</v>
      </c>
      <c r="BK69" s="4">
        <v>61</v>
      </c>
      <c r="BL69" s="4">
        <v>62</v>
      </c>
      <c r="BM69" s="4">
        <v>63</v>
      </c>
    </row>
    <row r="72" spans="2:65" x14ac:dyDescent="0.3">
      <c r="D72" cm="1">
        <f t="array" ref="D72:E73">MMULT(_xlfn.ANCHORARRAY(D68),D2:E63)</f>
        <v>62</v>
      </c>
      <c r="E72">
        <v>2015</v>
      </c>
      <c r="G72" s="5" cm="1">
        <f t="array" ref="G72:H73">MINVERSE(_xlfn.ANCHORARRAY(D72))</f>
        <v>6.932587947923749E-2</v>
      </c>
      <c r="H72" s="5">
        <v>-1.6368260683437843E-3</v>
      </c>
    </row>
    <row r="73" spans="2:65" x14ac:dyDescent="0.3">
      <c r="D73">
        <v>2015</v>
      </c>
      <c r="E73">
        <v>85343</v>
      </c>
      <c r="G73" s="5">
        <v>-1.6368260683437838E-3</v>
      </c>
      <c r="H73" s="5">
        <v>5.0363879025962586E-5</v>
      </c>
    </row>
    <row r="76" spans="2:65" x14ac:dyDescent="0.3">
      <c r="D76" cm="1">
        <f t="array" ref="D76:D77">MMULT(_xlfn.ANCHORARRAY(D68),B2:B63)</f>
        <v>2627138.4999999995</v>
      </c>
      <c r="H76" t="s">
        <v>16</v>
      </c>
      <c r="I76" s="7">
        <f>H65/(62-1-1)</f>
        <v>26220950.039715171</v>
      </c>
    </row>
    <row r="77" spans="2:65" x14ac:dyDescent="0.3">
      <c r="D77">
        <v>87110548.100000009</v>
      </c>
      <c r="I77" s="7"/>
    </row>
    <row r="80" spans="2:65" x14ac:dyDescent="0.3">
      <c r="C80" t="s">
        <v>11</v>
      </c>
      <c r="D80" s="21">
        <v>10.58630500424351</v>
      </c>
    </row>
    <row r="81" spans="3:36" x14ac:dyDescent="0.3">
      <c r="C81" t="s">
        <v>12</v>
      </c>
      <c r="D81" s="21">
        <v>1.8629488482384579E-3</v>
      </c>
    </row>
    <row r="84" spans="3:36" x14ac:dyDescent="0.3">
      <c r="C84" t="s">
        <v>19</v>
      </c>
    </row>
    <row r="85" spans="3:36" x14ac:dyDescent="0.3">
      <c r="D85">
        <f>I76*G72</f>
        <v>1817790.4222844015</v>
      </c>
      <c r="E85">
        <f>I76*H72</f>
        <v>-42919.134561745777</v>
      </c>
      <c r="H85" t="s">
        <v>17</v>
      </c>
      <c r="I85" s="9">
        <f>D81*B63</f>
        <v>100.07016033197701</v>
      </c>
      <c r="J85" t="s">
        <v>76</v>
      </c>
    </row>
    <row r="86" spans="3:36" x14ac:dyDescent="0.3">
      <c r="D86">
        <f>I76*G73</f>
        <v>-42919.134561745763</v>
      </c>
      <c r="E86">
        <f>I76*H73</f>
        <v>1320.5887557460237</v>
      </c>
      <c r="H86" t="s">
        <v>18</v>
      </c>
      <c r="I86" s="8">
        <f>D81</f>
        <v>1.8629488482384579E-3</v>
      </c>
      <c r="J86" t="s">
        <v>75</v>
      </c>
    </row>
    <row r="90" spans="3:36" ht="15.6" x14ac:dyDescent="0.3">
      <c r="H90" s="14"/>
      <c r="I90" s="12"/>
      <c r="J90" s="11"/>
    </row>
    <row r="91" spans="3:36" ht="15.6" x14ac:dyDescent="0.3">
      <c r="H91" s="14"/>
      <c r="I91" s="12"/>
      <c r="J91" s="11"/>
    </row>
    <row r="92" spans="3:36" ht="15.6" x14ac:dyDescent="0.3">
      <c r="H92" s="15"/>
      <c r="I92" s="12"/>
      <c r="J92" s="11"/>
    </row>
    <row r="93" spans="3:36" ht="15.6" x14ac:dyDescent="0.3">
      <c r="H93" s="15"/>
      <c r="I93" s="7"/>
      <c r="J93" s="11"/>
    </row>
    <row r="94" spans="3:36" ht="15.6" x14ac:dyDescent="0.3">
      <c r="H94" s="15"/>
      <c r="I94" s="12"/>
      <c r="J94" s="11"/>
    </row>
    <row r="95" spans="3:36" x14ac:dyDescent="0.3"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</sheetData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318CF-BC12-4366-B9E5-1505FC5EF53E}">
  <dimension ref="M29:U110"/>
  <sheetViews>
    <sheetView tabSelected="1" topLeftCell="A85" workbookViewId="0">
      <selection activeCell="T117" sqref="T117"/>
    </sheetView>
  </sheetViews>
  <sheetFormatPr defaultRowHeight="14.4" x14ac:dyDescent="0.3"/>
  <sheetData>
    <row r="29" spans="14:14" x14ac:dyDescent="0.3">
      <c r="N29" t="s">
        <v>78</v>
      </c>
    </row>
    <row r="34" spans="14:14" x14ac:dyDescent="0.3">
      <c r="N34" t="s">
        <v>79</v>
      </c>
    </row>
    <row r="35" spans="14:14" x14ac:dyDescent="0.3">
      <c r="N35" t="s">
        <v>80</v>
      </c>
    </row>
    <row r="36" spans="14:14" x14ac:dyDescent="0.3">
      <c r="N36" t="s">
        <v>81</v>
      </c>
    </row>
    <row r="37" spans="14:14" x14ac:dyDescent="0.3">
      <c r="N37" t="s">
        <v>82</v>
      </c>
    </row>
    <row r="93" spans="13:13" x14ac:dyDescent="0.3">
      <c r="M93" t="s">
        <v>83</v>
      </c>
    </row>
    <row r="94" spans="13:13" x14ac:dyDescent="0.3">
      <c r="M94" t="s">
        <v>84</v>
      </c>
    </row>
    <row r="98" spans="14:21" x14ac:dyDescent="0.3">
      <c r="N98" t="s">
        <v>85</v>
      </c>
      <c r="O98">
        <v>50259.4</v>
      </c>
    </row>
    <row r="99" spans="14:21" x14ac:dyDescent="0.3">
      <c r="N99" t="s">
        <v>86</v>
      </c>
      <c r="O99">
        <v>-118175</v>
      </c>
      <c r="R99" t="s">
        <v>98</v>
      </c>
      <c r="T99">
        <v>40785.14499999999</v>
      </c>
    </row>
    <row r="100" spans="14:21" x14ac:dyDescent="0.3">
      <c r="N100" t="s">
        <v>87</v>
      </c>
      <c r="O100">
        <v>-979.66099999999994</v>
      </c>
      <c r="R100" t="s">
        <v>99</v>
      </c>
      <c r="T100">
        <v>45260.577272727278</v>
      </c>
    </row>
    <row r="101" spans="14:21" x14ac:dyDescent="0.3">
      <c r="N101" t="s">
        <v>88</v>
      </c>
      <c r="O101">
        <v>4520.09</v>
      </c>
    </row>
    <row r="102" spans="14:21" x14ac:dyDescent="0.3">
      <c r="N102" t="s">
        <v>89</v>
      </c>
      <c r="O102">
        <v>19.166799999999999</v>
      </c>
    </row>
    <row r="103" spans="14:21" x14ac:dyDescent="0.3">
      <c r="N103" t="s">
        <v>90</v>
      </c>
      <c r="O103">
        <v>-44.851599999999998</v>
      </c>
    </row>
    <row r="105" spans="14:21" x14ac:dyDescent="0.3">
      <c r="Q105">
        <v>20.5</v>
      </c>
      <c r="S105">
        <v>51.5</v>
      </c>
      <c r="U105" t="s">
        <v>93</v>
      </c>
    </row>
    <row r="106" spans="14:21" x14ac:dyDescent="0.3">
      <c r="N106" t="s">
        <v>91</v>
      </c>
      <c r="Q106">
        <f>O100+(2*O102*20.5)</f>
        <v>-193.82219999999995</v>
      </c>
    </row>
    <row r="107" spans="14:21" x14ac:dyDescent="0.3">
      <c r="N107" t="s">
        <v>92</v>
      </c>
      <c r="Q107">
        <f>(O100+O101)+(2*(O102+O103)*51.5)</f>
        <v>894.89460000000008</v>
      </c>
    </row>
    <row r="109" spans="14:21" x14ac:dyDescent="0.3">
      <c r="N109" t="s">
        <v>94</v>
      </c>
      <c r="Q109" s="32">
        <f>Q106/T99</f>
        <v>-4.7522743881381318E-3</v>
      </c>
    </row>
    <row r="110" spans="14:21" x14ac:dyDescent="0.3">
      <c r="N110" t="s">
        <v>95</v>
      </c>
      <c r="Q110" s="32">
        <f>Q107/T100</f>
        <v>1.9772054488117141E-2</v>
      </c>
    </row>
  </sheetData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D47CF-CC83-4181-9730-3C41A292D8EA}">
  <dimension ref="A1:I18"/>
  <sheetViews>
    <sheetView workbookViewId="0"/>
  </sheetViews>
  <sheetFormatPr defaultRowHeight="14.4" x14ac:dyDescent="0.3"/>
  <sheetData>
    <row r="1" spans="1:9" x14ac:dyDescent="0.3">
      <c r="A1" t="s">
        <v>25</v>
      </c>
    </row>
    <row r="2" spans="1:9" ht="15" thickBot="1" x14ac:dyDescent="0.35"/>
    <row r="3" spans="1:9" x14ac:dyDescent="0.3">
      <c r="A3" s="18" t="s">
        <v>26</v>
      </c>
      <c r="B3" s="18"/>
    </row>
    <row r="4" spans="1:9" x14ac:dyDescent="0.3">
      <c r="A4" t="s">
        <v>27</v>
      </c>
      <c r="B4">
        <v>1.9263376992130394E-2</v>
      </c>
    </row>
    <row r="5" spans="1:9" x14ac:dyDescent="0.3">
      <c r="A5" t="s">
        <v>28</v>
      </c>
      <c r="B5">
        <v>3.7107769314093856E-4</v>
      </c>
    </row>
    <row r="6" spans="1:9" x14ac:dyDescent="0.3">
      <c r="A6" t="s">
        <v>29</v>
      </c>
      <c r="B6">
        <v>-1.6289404345306714E-2</v>
      </c>
    </row>
    <row r="7" spans="1:9" x14ac:dyDescent="0.3">
      <c r="A7" t="s">
        <v>30</v>
      </c>
      <c r="B7">
        <v>0.12251301495244421</v>
      </c>
    </row>
    <row r="8" spans="1:9" ht="15" thickBot="1" x14ac:dyDescent="0.35">
      <c r="A8" s="16" t="s">
        <v>31</v>
      </c>
      <c r="B8" s="16">
        <v>62</v>
      </c>
    </row>
    <row r="10" spans="1:9" ht="15" thickBot="1" x14ac:dyDescent="0.35">
      <c r="A10" t="s">
        <v>32</v>
      </c>
    </row>
    <row r="11" spans="1:9" x14ac:dyDescent="0.3">
      <c r="A11" s="17"/>
      <c r="B11" s="17" t="s">
        <v>37</v>
      </c>
      <c r="C11" s="17" t="s">
        <v>38</v>
      </c>
      <c r="D11" s="17" t="s">
        <v>39</v>
      </c>
      <c r="E11" s="17" t="s">
        <v>40</v>
      </c>
      <c r="F11" s="17" t="s">
        <v>41</v>
      </c>
    </row>
    <row r="12" spans="1:9" x14ac:dyDescent="0.3">
      <c r="A12" t="s">
        <v>33</v>
      </c>
      <c r="B12">
        <v>1</v>
      </c>
      <c r="C12">
        <v>3.3430412904855711E-4</v>
      </c>
      <c r="D12">
        <v>3.3430412904855711E-4</v>
      </c>
      <c r="E12">
        <v>2.2272926574669141E-2</v>
      </c>
      <c r="F12">
        <v>0.88186384160732678</v>
      </c>
    </row>
    <row r="13" spans="1:9" x14ac:dyDescent="0.3">
      <c r="A13" t="s">
        <v>34</v>
      </c>
      <c r="B13">
        <v>60</v>
      </c>
      <c r="C13">
        <v>0.90056632996426911</v>
      </c>
      <c r="D13">
        <v>1.5009438832737818E-2</v>
      </c>
    </row>
    <row r="14" spans="1:9" ht="15" thickBot="1" x14ac:dyDescent="0.35">
      <c r="A14" s="16" t="s">
        <v>35</v>
      </c>
      <c r="B14" s="16">
        <v>61</v>
      </c>
      <c r="C14" s="16">
        <v>0.90090063409331766</v>
      </c>
      <c r="D14" s="16"/>
      <c r="E14" s="16"/>
      <c r="F14" s="16"/>
    </row>
    <row r="15" spans="1:9" ht="15" thickBot="1" x14ac:dyDescent="0.35"/>
    <row r="16" spans="1:9" x14ac:dyDescent="0.3">
      <c r="A16" s="17"/>
      <c r="B16" s="17" t="s">
        <v>42</v>
      </c>
      <c r="C16" s="17" t="s">
        <v>30</v>
      </c>
      <c r="D16" s="17" t="s">
        <v>43</v>
      </c>
      <c r="E16" s="17" t="s">
        <v>44</v>
      </c>
      <c r="F16" s="17" t="s">
        <v>45</v>
      </c>
      <c r="G16" s="17" t="s">
        <v>46</v>
      </c>
      <c r="H16" s="17" t="s">
        <v>47</v>
      </c>
      <c r="I16" s="17" t="s">
        <v>48</v>
      </c>
    </row>
    <row r="17" spans="1:9" x14ac:dyDescent="0.3">
      <c r="A17" t="s">
        <v>36</v>
      </c>
      <c r="B17" s="21">
        <v>10.656189347570036</v>
      </c>
      <c r="C17">
        <v>6.4478678526003405E-2</v>
      </c>
      <c r="D17">
        <v>165.26686947023168</v>
      </c>
      <c r="E17">
        <v>1.7231215084723239E-81</v>
      </c>
      <c r="F17">
        <v>10.527212787348114</v>
      </c>
      <c r="G17">
        <v>10.785165907791958</v>
      </c>
      <c r="H17">
        <v>10.527212787348114</v>
      </c>
      <c r="I17">
        <v>10.785165907791958</v>
      </c>
    </row>
    <row r="18" spans="1:9" ht="15" thickBot="1" x14ac:dyDescent="0.35">
      <c r="A18" s="16" t="s">
        <v>49</v>
      </c>
      <c r="B18" s="22">
        <v>-2.8804006073729991E-3</v>
      </c>
      <c r="C18" s="16">
        <v>1.9300308510227803E-2</v>
      </c>
      <c r="D18" s="16">
        <v>-0.14924116916818142</v>
      </c>
      <c r="E18" s="16">
        <v>0.88186384160728304</v>
      </c>
      <c r="F18" s="16">
        <v>-4.1486765684584974E-2</v>
      </c>
      <c r="G18" s="16">
        <v>3.5725964469838979E-2</v>
      </c>
      <c r="H18" s="16">
        <v>-4.1486765684584974E-2</v>
      </c>
      <c r="I18" s="16">
        <v>3.5725964469838979E-2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824C5-3561-4E84-B29D-52299CB24F42}">
  <dimension ref="A1:I18"/>
  <sheetViews>
    <sheetView topLeftCell="A3" workbookViewId="0"/>
  </sheetViews>
  <sheetFormatPr defaultRowHeight="14.4" x14ac:dyDescent="0.3"/>
  <sheetData>
    <row r="1" spans="1:9" x14ac:dyDescent="0.3">
      <c r="A1" t="s">
        <v>25</v>
      </c>
    </row>
    <row r="2" spans="1:9" ht="15" thickBot="1" x14ac:dyDescent="0.35"/>
    <row r="3" spans="1:9" x14ac:dyDescent="0.3">
      <c r="A3" s="18" t="s">
        <v>26</v>
      </c>
      <c r="B3" s="18"/>
    </row>
    <row r="4" spans="1:9" x14ac:dyDescent="0.3">
      <c r="A4" t="s">
        <v>27</v>
      </c>
      <c r="B4">
        <v>0.27656861708516861</v>
      </c>
    </row>
    <row r="5" spans="1:9" x14ac:dyDescent="0.3">
      <c r="A5" t="s">
        <v>28</v>
      </c>
      <c r="B5">
        <v>7.6490199956402632E-2</v>
      </c>
    </row>
    <row r="6" spans="1:9" x14ac:dyDescent="0.3">
      <c r="A6" t="s">
        <v>29</v>
      </c>
      <c r="B6">
        <v>6.109836995567601E-2</v>
      </c>
    </row>
    <row r="7" spans="1:9" x14ac:dyDescent="0.3">
      <c r="A7" t="s">
        <v>30</v>
      </c>
      <c r="B7">
        <v>0.11775614382065661</v>
      </c>
    </row>
    <row r="8" spans="1:9" ht="15" thickBot="1" x14ac:dyDescent="0.35">
      <c r="A8" s="16" t="s">
        <v>31</v>
      </c>
      <c r="B8" s="16">
        <v>62</v>
      </c>
    </row>
    <row r="10" spans="1:9" ht="15" thickBot="1" x14ac:dyDescent="0.35">
      <c r="A10" t="s">
        <v>32</v>
      </c>
    </row>
    <row r="11" spans="1:9" x14ac:dyDescent="0.3">
      <c r="A11" s="17"/>
      <c r="B11" s="17" t="s">
        <v>37</v>
      </c>
      <c r="C11" s="17" t="s">
        <v>38</v>
      </c>
      <c r="D11" s="17" t="s">
        <v>39</v>
      </c>
      <c r="E11" s="17" t="s">
        <v>40</v>
      </c>
      <c r="F11" s="17" t="s">
        <v>41</v>
      </c>
    </row>
    <row r="12" spans="1:9" x14ac:dyDescent="0.3">
      <c r="A12" t="s">
        <v>33</v>
      </c>
      <c r="B12">
        <v>1</v>
      </c>
      <c r="C12">
        <v>6.8910069642647787E-2</v>
      </c>
      <c r="D12">
        <v>6.8910069642647787E-2</v>
      </c>
      <c r="E12">
        <v>4.9695325346493338</v>
      </c>
      <c r="F12">
        <v>2.9553541916912493E-2</v>
      </c>
    </row>
    <row r="13" spans="1:9" x14ac:dyDescent="0.3">
      <c r="A13" t="s">
        <v>34</v>
      </c>
      <c r="B13">
        <v>60</v>
      </c>
      <c r="C13">
        <v>0.83199056445066988</v>
      </c>
      <c r="D13">
        <v>1.3866509407511165E-2</v>
      </c>
    </row>
    <row r="14" spans="1:9" ht="15" thickBot="1" x14ac:dyDescent="0.35">
      <c r="A14" s="16" t="s">
        <v>35</v>
      </c>
      <c r="B14" s="16">
        <v>61</v>
      </c>
      <c r="C14" s="16">
        <v>0.90090063409331766</v>
      </c>
      <c r="D14" s="16"/>
      <c r="E14" s="16"/>
      <c r="F14" s="16"/>
    </row>
    <row r="15" spans="1:9" ht="15" thickBot="1" x14ac:dyDescent="0.35"/>
    <row r="16" spans="1:9" x14ac:dyDescent="0.3">
      <c r="A16" s="17"/>
      <c r="B16" s="17" t="s">
        <v>42</v>
      </c>
      <c r="C16" s="17" t="s">
        <v>30</v>
      </c>
      <c r="D16" s="17" t="s">
        <v>43</v>
      </c>
      <c r="E16" s="17" t="s">
        <v>44</v>
      </c>
      <c r="F16" s="17" t="s">
        <v>45</v>
      </c>
      <c r="G16" s="17" t="s">
        <v>46</v>
      </c>
      <c r="H16" s="17" t="s">
        <v>47</v>
      </c>
      <c r="I16" s="17" t="s">
        <v>48</v>
      </c>
    </row>
    <row r="17" spans="1:9" x14ac:dyDescent="0.3">
      <c r="A17" t="s">
        <v>36</v>
      </c>
      <c r="B17" s="21">
        <v>10.58630500424351</v>
      </c>
      <c r="C17">
        <v>3.1004966698624788E-2</v>
      </c>
      <c r="D17">
        <v>341.4390057936447</v>
      </c>
      <c r="E17">
        <v>2.2397979372734959E-100</v>
      </c>
      <c r="F17">
        <v>10.524285836884626</v>
      </c>
      <c r="G17">
        <v>10.648324171602393</v>
      </c>
      <c r="H17">
        <v>10.524285836884626</v>
      </c>
      <c r="I17">
        <v>10.648324171602393</v>
      </c>
    </row>
    <row r="18" spans="1:9" ht="15" thickBot="1" x14ac:dyDescent="0.35">
      <c r="A18" s="16" t="s">
        <v>49</v>
      </c>
      <c r="B18" s="22">
        <v>1.8629488482384579E-3</v>
      </c>
      <c r="C18" s="16">
        <v>8.3568606684105047E-4</v>
      </c>
      <c r="D18" s="16">
        <v>2.2292448350617233</v>
      </c>
      <c r="E18" s="16">
        <v>2.9553541916911844E-2</v>
      </c>
      <c r="F18" s="16">
        <v>1.9132782884864058E-4</v>
      </c>
      <c r="G18" s="16">
        <v>3.5345698676282752E-3</v>
      </c>
      <c r="H18" s="16">
        <v>1.9132782884864058E-4</v>
      </c>
      <c r="I18" s="16">
        <v>3.5345698676282752E-3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BEA22-52AA-419A-9E86-6CF5CEEAF39E}">
  <dimension ref="A1:K67"/>
  <sheetViews>
    <sheetView topLeftCell="A48" workbookViewId="0">
      <selection activeCell="E67" sqref="E67"/>
    </sheetView>
  </sheetViews>
  <sheetFormatPr defaultRowHeight="14.4" x14ac:dyDescent="0.3"/>
  <cols>
    <col min="1" max="1" width="7" bestFit="1" customWidth="1"/>
    <col min="2" max="2" width="9" bestFit="1" customWidth="1"/>
    <col min="3" max="3" width="9.77734375" customWidth="1"/>
    <col min="4" max="4" width="16" customWidth="1"/>
    <col min="5" max="28" width="12.5546875" customWidth="1"/>
  </cols>
  <sheetData>
    <row r="1" spans="1:7" x14ac:dyDescent="0.3">
      <c r="A1" t="s">
        <v>0</v>
      </c>
      <c r="B1" t="s">
        <v>1</v>
      </c>
      <c r="C1" t="s">
        <v>23</v>
      </c>
      <c r="D1" t="s">
        <v>50</v>
      </c>
      <c r="E1" t="s">
        <v>24</v>
      </c>
    </row>
    <row r="2" spans="1:7" x14ac:dyDescent="0.3">
      <c r="A2">
        <v>2010.1</v>
      </c>
      <c r="B2" s="6">
        <v>48489.7</v>
      </c>
      <c r="C2" s="1">
        <f>LN(B2)</f>
        <v>10.789106683237611</v>
      </c>
      <c r="D2" s="2">
        <v>2</v>
      </c>
      <c r="E2">
        <f>LN(D2)</f>
        <v>0.69314718055994529</v>
      </c>
      <c r="G2">
        <v>1</v>
      </c>
    </row>
    <row r="3" spans="1:7" x14ac:dyDescent="0.3">
      <c r="A3">
        <v>2010.2</v>
      </c>
      <c r="B3" s="6">
        <v>49856.6</v>
      </c>
      <c r="C3" s="1">
        <f t="shared" ref="C3:C63" si="0">LN(B3)</f>
        <v>10.816906163817825</v>
      </c>
      <c r="D3" s="2">
        <v>3</v>
      </c>
      <c r="E3">
        <f t="shared" ref="E3:E63" si="1">LN(D3)</f>
        <v>1.0986122886681098</v>
      </c>
      <c r="G3">
        <v>2</v>
      </c>
    </row>
    <row r="4" spans="1:7" x14ac:dyDescent="0.3">
      <c r="A4">
        <v>2010.3</v>
      </c>
      <c r="B4" s="6">
        <v>48755.4</v>
      </c>
      <c r="C4" s="1">
        <f t="shared" si="0"/>
        <v>10.794571239522304</v>
      </c>
      <c r="D4" s="2">
        <v>4</v>
      </c>
      <c r="E4">
        <f t="shared" si="1"/>
        <v>1.3862943611198906</v>
      </c>
      <c r="G4">
        <v>3</v>
      </c>
    </row>
    <row r="5" spans="1:7" x14ac:dyDescent="0.3">
      <c r="A5">
        <v>2010.4</v>
      </c>
      <c r="B5" s="6">
        <v>50094</v>
      </c>
      <c r="C5" s="1">
        <f t="shared" si="0"/>
        <v>10.821656519422055</v>
      </c>
      <c r="D5" s="2">
        <v>5</v>
      </c>
      <c r="E5">
        <f t="shared" si="1"/>
        <v>1.6094379124341003</v>
      </c>
      <c r="G5">
        <v>4</v>
      </c>
    </row>
    <row r="6" spans="1:7" x14ac:dyDescent="0.3">
      <c r="A6">
        <v>2011.1</v>
      </c>
      <c r="B6" s="6">
        <v>43083.6</v>
      </c>
      <c r="C6" s="1">
        <f t="shared" si="0"/>
        <v>10.670897693238537</v>
      </c>
      <c r="D6" s="2">
        <v>6</v>
      </c>
      <c r="E6">
        <f t="shared" si="1"/>
        <v>1.791759469228055</v>
      </c>
      <c r="G6">
        <v>5</v>
      </c>
    </row>
    <row r="7" spans="1:7" x14ac:dyDescent="0.3">
      <c r="A7">
        <v>2011.2</v>
      </c>
      <c r="B7" s="6">
        <v>45650.8</v>
      </c>
      <c r="C7" s="1">
        <f t="shared" si="0"/>
        <v>10.728776410513591</v>
      </c>
      <c r="D7" s="2">
        <v>7</v>
      </c>
      <c r="E7">
        <f t="shared" si="1"/>
        <v>1.9459101490553132</v>
      </c>
      <c r="G7">
        <v>6</v>
      </c>
    </row>
    <row r="8" spans="1:7" x14ac:dyDescent="0.3">
      <c r="A8">
        <v>2011.3</v>
      </c>
      <c r="B8" s="6">
        <v>45345</v>
      </c>
      <c r="C8" s="1">
        <f t="shared" si="0"/>
        <v>10.722055195881667</v>
      </c>
      <c r="D8" s="2">
        <v>8</v>
      </c>
      <c r="E8">
        <f t="shared" si="1"/>
        <v>2.0794415416798357</v>
      </c>
      <c r="G8">
        <v>7</v>
      </c>
    </row>
    <row r="9" spans="1:7" x14ac:dyDescent="0.3">
      <c r="A9">
        <v>2011.4</v>
      </c>
      <c r="B9" s="6">
        <v>44267.9</v>
      </c>
      <c r="C9" s="1">
        <f t="shared" si="0"/>
        <v>10.698015088414021</v>
      </c>
      <c r="D9" s="2">
        <v>9</v>
      </c>
      <c r="E9">
        <f t="shared" si="1"/>
        <v>2.1972245773362196</v>
      </c>
      <c r="G9">
        <v>8</v>
      </c>
    </row>
    <row r="10" spans="1:7" x14ac:dyDescent="0.3">
      <c r="A10">
        <v>2012.1</v>
      </c>
      <c r="B10" s="6">
        <v>39075.199999999997</v>
      </c>
      <c r="C10" s="1">
        <f t="shared" si="0"/>
        <v>10.573243273638703</v>
      </c>
      <c r="D10" s="2">
        <v>10</v>
      </c>
      <c r="E10">
        <f t="shared" si="1"/>
        <v>2.3025850929940459</v>
      </c>
      <c r="G10">
        <v>9</v>
      </c>
    </row>
    <row r="11" spans="1:7" x14ac:dyDescent="0.3">
      <c r="A11">
        <v>2012.2</v>
      </c>
      <c r="B11" s="6">
        <v>41223.800000000003</v>
      </c>
      <c r="C11" s="1">
        <f t="shared" si="0"/>
        <v>10.626771038453501</v>
      </c>
      <c r="D11" s="2">
        <v>11</v>
      </c>
      <c r="E11">
        <f t="shared" si="1"/>
        <v>2.3978952727983707</v>
      </c>
      <c r="G11">
        <v>10</v>
      </c>
    </row>
    <row r="12" spans="1:7" x14ac:dyDescent="0.3">
      <c r="A12">
        <v>2012.3</v>
      </c>
      <c r="B12" s="6">
        <v>41766.800000000003</v>
      </c>
      <c r="C12" s="1">
        <f t="shared" si="0"/>
        <v>10.639857044549343</v>
      </c>
      <c r="D12" s="2">
        <v>12</v>
      </c>
      <c r="E12">
        <f t="shared" si="1"/>
        <v>2.4849066497880004</v>
      </c>
      <c r="G12">
        <v>11</v>
      </c>
    </row>
    <row r="13" spans="1:7" x14ac:dyDescent="0.3">
      <c r="A13">
        <v>2012.4</v>
      </c>
      <c r="B13" s="6">
        <v>41700.400000000001</v>
      </c>
      <c r="C13" s="1">
        <f t="shared" si="0"/>
        <v>10.638266000067025</v>
      </c>
      <c r="D13" s="2">
        <v>13</v>
      </c>
      <c r="E13">
        <f t="shared" si="1"/>
        <v>2.5649493574615367</v>
      </c>
      <c r="G13">
        <v>12</v>
      </c>
    </row>
    <row r="14" spans="1:7" x14ac:dyDescent="0.3">
      <c r="A14">
        <v>2013.1</v>
      </c>
      <c r="B14" s="6">
        <v>36810.699999999997</v>
      </c>
      <c r="C14" s="1">
        <f t="shared" si="0"/>
        <v>10.513543842763838</v>
      </c>
      <c r="D14" s="2">
        <v>14</v>
      </c>
      <c r="E14">
        <f t="shared" si="1"/>
        <v>2.6390573296152584</v>
      </c>
      <c r="G14">
        <v>13</v>
      </c>
    </row>
    <row r="15" spans="1:7" x14ac:dyDescent="0.3">
      <c r="A15">
        <v>2013.2</v>
      </c>
      <c r="B15" s="6">
        <v>39772.1</v>
      </c>
      <c r="C15" s="1">
        <f t="shared" si="0"/>
        <v>10.590920940428495</v>
      </c>
      <c r="D15" s="2">
        <v>15</v>
      </c>
      <c r="E15">
        <f t="shared" si="1"/>
        <v>2.7080502011022101</v>
      </c>
      <c r="G15">
        <v>14</v>
      </c>
    </row>
    <row r="16" spans="1:7" x14ac:dyDescent="0.3">
      <c r="A16">
        <v>2013.3</v>
      </c>
      <c r="B16" s="6">
        <v>40769.199999999997</v>
      </c>
      <c r="C16" s="1">
        <f t="shared" si="0"/>
        <v>10.615682173349501</v>
      </c>
      <c r="D16" s="2">
        <v>16</v>
      </c>
      <c r="E16">
        <f t="shared" si="1"/>
        <v>2.7725887222397811</v>
      </c>
      <c r="G16">
        <v>15</v>
      </c>
    </row>
    <row r="17" spans="1:7" x14ac:dyDescent="0.3">
      <c r="A17">
        <v>2013.4</v>
      </c>
      <c r="B17" s="6">
        <v>40443.199999999997</v>
      </c>
      <c r="C17" s="1">
        <f t="shared" si="0"/>
        <v>10.607653799578507</v>
      </c>
      <c r="D17" s="2">
        <v>17</v>
      </c>
      <c r="E17">
        <f t="shared" si="1"/>
        <v>2.8332133440562162</v>
      </c>
      <c r="G17">
        <v>16</v>
      </c>
    </row>
    <row r="18" spans="1:7" x14ac:dyDescent="0.3">
      <c r="A18">
        <v>2014.1</v>
      </c>
      <c r="B18" s="6">
        <v>36236.6</v>
      </c>
      <c r="C18" s="1">
        <f t="shared" si="0"/>
        <v>10.497824936771092</v>
      </c>
      <c r="D18" s="2">
        <v>18</v>
      </c>
      <c r="E18">
        <f t="shared" si="1"/>
        <v>2.8903717578961645</v>
      </c>
      <c r="G18">
        <v>17</v>
      </c>
    </row>
    <row r="19" spans="1:7" x14ac:dyDescent="0.3">
      <c r="A19">
        <v>2014.2</v>
      </c>
      <c r="B19" s="6">
        <v>38745.9</v>
      </c>
      <c r="C19" s="1">
        <f t="shared" si="0"/>
        <v>10.564780222731983</v>
      </c>
      <c r="D19" s="2">
        <v>19</v>
      </c>
      <c r="E19">
        <f t="shared" si="1"/>
        <v>2.9444389791664403</v>
      </c>
      <c r="G19">
        <v>18</v>
      </c>
    </row>
    <row r="20" spans="1:7" x14ac:dyDescent="0.3">
      <c r="A20">
        <v>2014.3</v>
      </c>
      <c r="B20" s="6">
        <v>40325.300000000003</v>
      </c>
      <c r="C20" s="1">
        <f t="shared" si="0"/>
        <v>10.604734342519363</v>
      </c>
      <c r="D20" s="2">
        <v>20</v>
      </c>
      <c r="E20">
        <f t="shared" si="1"/>
        <v>2.9957322735539909</v>
      </c>
      <c r="G20">
        <v>19</v>
      </c>
    </row>
    <row r="21" spans="1:7" x14ac:dyDescent="0.3">
      <c r="A21">
        <v>2014.4</v>
      </c>
      <c r="B21" s="6">
        <v>40047.5</v>
      </c>
      <c r="C21" s="1">
        <f t="shared" si="0"/>
        <v>10.597821528575638</v>
      </c>
      <c r="D21" s="2">
        <v>21</v>
      </c>
      <c r="E21">
        <f t="shared" si="1"/>
        <v>3.044522437723423</v>
      </c>
      <c r="G21">
        <v>20</v>
      </c>
    </row>
    <row r="22" spans="1:7" x14ac:dyDescent="0.3">
      <c r="A22">
        <v>2015.1</v>
      </c>
      <c r="B22" s="6">
        <v>36268.1</v>
      </c>
      <c r="C22" s="1">
        <f t="shared" si="0"/>
        <v>10.498693846013717</v>
      </c>
      <c r="D22" s="2">
        <v>22</v>
      </c>
      <c r="E22">
        <f t="shared" si="1"/>
        <v>3.0910424533583161</v>
      </c>
      <c r="G22">
        <v>21</v>
      </c>
    </row>
    <row r="23" spans="1:7" x14ac:dyDescent="0.3">
      <c r="A23">
        <v>2015.2</v>
      </c>
      <c r="B23" s="6">
        <v>38729.1</v>
      </c>
      <c r="C23" s="1">
        <f t="shared" si="0"/>
        <v>10.564346534438641</v>
      </c>
      <c r="D23" s="2">
        <v>23</v>
      </c>
      <c r="E23">
        <f t="shared" si="1"/>
        <v>3.1354942159291497</v>
      </c>
      <c r="G23">
        <v>22</v>
      </c>
    </row>
    <row r="24" spans="1:7" x14ac:dyDescent="0.3">
      <c r="A24">
        <v>2015.3</v>
      </c>
      <c r="B24" s="6">
        <v>39614</v>
      </c>
      <c r="C24" s="1">
        <f t="shared" si="0"/>
        <v>10.586937870117209</v>
      </c>
      <c r="D24" s="2">
        <v>24</v>
      </c>
      <c r="E24">
        <f t="shared" si="1"/>
        <v>3.1780538303479458</v>
      </c>
      <c r="G24">
        <v>23</v>
      </c>
    </row>
    <row r="25" spans="1:7" x14ac:dyDescent="0.3">
      <c r="A25">
        <v>2015.4</v>
      </c>
      <c r="B25" s="6">
        <v>40169.5</v>
      </c>
      <c r="C25" s="1">
        <f t="shared" si="0"/>
        <v>10.600863280176036</v>
      </c>
      <c r="D25" s="2">
        <v>25</v>
      </c>
      <c r="E25">
        <f t="shared" si="1"/>
        <v>3.2188758248682006</v>
      </c>
      <c r="G25">
        <v>24</v>
      </c>
    </row>
    <row r="26" spans="1:7" x14ac:dyDescent="0.3">
      <c r="A26">
        <v>2016.1</v>
      </c>
      <c r="B26" s="6">
        <v>35233.800000000003</v>
      </c>
      <c r="C26" s="1">
        <f t="shared" si="0"/>
        <v>10.469761128135618</v>
      </c>
      <c r="D26" s="2">
        <v>26</v>
      </c>
      <c r="E26">
        <f t="shared" si="1"/>
        <v>3.2580965380214821</v>
      </c>
      <c r="G26">
        <v>25</v>
      </c>
    </row>
    <row r="27" spans="1:7" x14ac:dyDescent="0.3">
      <c r="A27">
        <v>2016.2</v>
      </c>
      <c r="B27" s="6">
        <v>37936</v>
      </c>
      <c r="C27" s="1">
        <f t="shared" si="0"/>
        <v>10.543655808305187</v>
      </c>
      <c r="D27" s="2">
        <v>27</v>
      </c>
      <c r="E27">
        <f t="shared" si="1"/>
        <v>3.2958368660043291</v>
      </c>
      <c r="G27">
        <v>26</v>
      </c>
    </row>
    <row r="28" spans="1:7" x14ac:dyDescent="0.3">
      <c r="A28">
        <v>2016.3</v>
      </c>
      <c r="B28" s="6">
        <v>39732</v>
      </c>
      <c r="C28" s="1">
        <f t="shared" si="0"/>
        <v>10.589912187335246</v>
      </c>
      <c r="D28" s="2">
        <v>28</v>
      </c>
      <c r="E28">
        <f t="shared" si="1"/>
        <v>3.3322045101752038</v>
      </c>
      <c r="G28">
        <v>27</v>
      </c>
    </row>
    <row r="29" spans="1:7" x14ac:dyDescent="0.3">
      <c r="A29">
        <v>2016.4</v>
      </c>
      <c r="B29" s="6">
        <v>39113.800000000003</v>
      </c>
      <c r="C29" s="1">
        <f t="shared" si="0"/>
        <v>10.574230624880842</v>
      </c>
      <c r="D29" s="2">
        <v>29</v>
      </c>
      <c r="E29">
        <f t="shared" si="1"/>
        <v>3.3672958299864741</v>
      </c>
      <c r="G29">
        <v>28</v>
      </c>
    </row>
    <row r="30" spans="1:7" x14ac:dyDescent="0.3">
      <c r="A30">
        <v>2017.1</v>
      </c>
      <c r="B30" s="6">
        <v>35997.300000000003</v>
      </c>
      <c r="C30" s="1">
        <f t="shared" si="0"/>
        <v>10.491199214625606</v>
      </c>
      <c r="D30" s="2">
        <v>30</v>
      </c>
      <c r="E30">
        <f t="shared" si="1"/>
        <v>3.4011973816621555</v>
      </c>
      <c r="G30">
        <v>29</v>
      </c>
    </row>
    <row r="31" spans="1:7" x14ac:dyDescent="0.3">
      <c r="A31">
        <v>2017.2</v>
      </c>
      <c r="B31" s="6">
        <v>38526.1</v>
      </c>
      <c r="C31" s="1">
        <f t="shared" si="0"/>
        <v>10.559091212668426</v>
      </c>
      <c r="D31" s="2">
        <v>31</v>
      </c>
      <c r="E31">
        <f t="shared" si="1"/>
        <v>3.4339872044851463</v>
      </c>
      <c r="G31">
        <v>30</v>
      </c>
    </row>
    <row r="32" spans="1:7" x14ac:dyDescent="0.3">
      <c r="A32">
        <v>2017.3</v>
      </c>
      <c r="B32" s="6">
        <v>41277.4</v>
      </c>
      <c r="C32" s="1">
        <f t="shared" si="0"/>
        <v>10.628070413675713</v>
      </c>
      <c r="D32" s="2">
        <v>32</v>
      </c>
      <c r="E32">
        <f t="shared" si="1"/>
        <v>3.4657359027997265</v>
      </c>
      <c r="G32">
        <v>31</v>
      </c>
    </row>
    <row r="33" spans="1:9" x14ac:dyDescent="0.3">
      <c r="A33">
        <v>2017.4</v>
      </c>
      <c r="B33" s="6">
        <v>38981.5</v>
      </c>
      <c r="C33" s="1">
        <f t="shared" si="0"/>
        <v>10.570842453593613</v>
      </c>
      <c r="D33" s="2">
        <v>33</v>
      </c>
      <c r="E33">
        <f t="shared" si="1"/>
        <v>3.4965075614664802</v>
      </c>
      <c r="G33">
        <v>32</v>
      </c>
    </row>
    <row r="34" spans="1:9" x14ac:dyDescent="0.3">
      <c r="A34">
        <v>2018.1</v>
      </c>
      <c r="B34" s="6">
        <v>36049</v>
      </c>
      <c r="C34" s="1">
        <f t="shared" si="0"/>
        <v>10.492634403077314</v>
      </c>
      <c r="D34" s="2">
        <v>34</v>
      </c>
      <c r="E34">
        <f t="shared" si="1"/>
        <v>3.5263605246161616</v>
      </c>
      <c r="G34">
        <v>33</v>
      </c>
    </row>
    <row r="35" spans="1:9" x14ac:dyDescent="0.3">
      <c r="A35">
        <v>2018.2</v>
      </c>
      <c r="B35" s="6">
        <v>39184.9</v>
      </c>
      <c r="C35" s="1">
        <f t="shared" si="0"/>
        <v>10.576046747486771</v>
      </c>
      <c r="D35" s="2">
        <v>35</v>
      </c>
      <c r="E35">
        <f t="shared" si="1"/>
        <v>3.5553480614894135</v>
      </c>
      <c r="G35">
        <v>34</v>
      </c>
    </row>
    <row r="36" spans="1:9" x14ac:dyDescent="0.3">
      <c r="A36">
        <v>2018.3</v>
      </c>
      <c r="B36" s="6">
        <v>41724.6</v>
      </c>
      <c r="C36" s="1">
        <f t="shared" si="0"/>
        <v>10.638846161905295</v>
      </c>
      <c r="D36" s="2">
        <v>36</v>
      </c>
      <c r="E36">
        <f t="shared" si="1"/>
        <v>3.5835189384561099</v>
      </c>
      <c r="G36">
        <v>35</v>
      </c>
    </row>
    <row r="37" spans="1:9" x14ac:dyDescent="0.3">
      <c r="A37">
        <v>2018.4</v>
      </c>
      <c r="B37" s="6">
        <v>39676.400000000001</v>
      </c>
      <c r="C37" s="1">
        <f t="shared" si="0"/>
        <v>10.588511831476522</v>
      </c>
      <c r="D37" s="2">
        <v>37</v>
      </c>
      <c r="E37">
        <f t="shared" si="1"/>
        <v>3.6109179126442243</v>
      </c>
      <c r="G37">
        <v>36</v>
      </c>
    </row>
    <row r="38" spans="1:9" x14ac:dyDescent="0.3">
      <c r="A38">
        <v>2019.1</v>
      </c>
      <c r="B38" s="6">
        <v>36562.699999999997</v>
      </c>
      <c r="C38" s="1">
        <f t="shared" si="0"/>
        <v>10.506783874044721</v>
      </c>
      <c r="D38" s="2">
        <v>38</v>
      </c>
      <c r="E38">
        <f t="shared" si="1"/>
        <v>3.6375861597263857</v>
      </c>
      <c r="G38">
        <v>37</v>
      </c>
    </row>
    <row r="39" spans="1:9" x14ac:dyDescent="0.3">
      <c r="A39">
        <v>2019.2</v>
      </c>
      <c r="B39" s="6">
        <v>40409.9</v>
      </c>
      <c r="C39" s="1">
        <f t="shared" si="0"/>
        <v>10.606830083434467</v>
      </c>
      <c r="D39" s="2">
        <v>39</v>
      </c>
      <c r="E39">
        <f t="shared" si="1"/>
        <v>3.6635616461296463</v>
      </c>
      <c r="G39">
        <v>38</v>
      </c>
    </row>
    <row r="40" spans="1:9" x14ac:dyDescent="0.3">
      <c r="A40">
        <v>2019.3</v>
      </c>
      <c r="B40" s="6">
        <v>43406.8</v>
      </c>
      <c r="C40" s="1">
        <f t="shared" si="0"/>
        <v>10.678371389842798</v>
      </c>
      <c r="D40" s="2">
        <v>40</v>
      </c>
      <c r="E40">
        <f t="shared" si="1"/>
        <v>3.6888794541139363</v>
      </c>
      <c r="G40">
        <v>39</v>
      </c>
    </row>
    <row r="41" spans="1:9" x14ac:dyDescent="0.3">
      <c r="A41">
        <v>2019.4</v>
      </c>
      <c r="B41" s="6">
        <v>40353.199999999997</v>
      </c>
      <c r="C41" s="1">
        <f t="shared" si="0"/>
        <v>10.605425976625405</v>
      </c>
      <c r="D41" s="2">
        <v>41</v>
      </c>
      <c r="E41">
        <f t="shared" si="1"/>
        <v>3.713572066704308</v>
      </c>
      <c r="G41">
        <v>40</v>
      </c>
      <c r="I41">
        <f>AVERAGEA(G2:G41)</f>
        <v>20.5</v>
      </c>
    </row>
    <row r="42" spans="1:9" x14ac:dyDescent="0.3">
      <c r="A42">
        <v>2020.1</v>
      </c>
      <c r="B42" s="6">
        <v>36283.300000000003</v>
      </c>
      <c r="C42" s="1">
        <f t="shared" si="0"/>
        <v>10.499112859298709</v>
      </c>
      <c r="D42" s="2">
        <v>42</v>
      </c>
      <c r="E42">
        <f t="shared" si="1"/>
        <v>3.7376696182833684</v>
      </c>
      <c r="G42">
        <v>41</v>
      </c>
    </row>
    <row r="43" spans="1:9" x14ac:dyDescent="0.3">
      <c r="A43">
        <v>2020.2</v>
      </c>
      <c r="B43" s="6">
        <v>34354.5</v>
      </c>
      <c r="C43" s="1">
        <f t="shared" si="0"/>
        <v>10.444488293436985</v>
      </c>
      <c r="D43" s="2">
        <v>43</v>
      </c>
      <c r="E43">
        <f t="shared" si="1"/>
        <v>3.7612001156935624</v>
      </c>
      <c r="G43">
        <v>42</v>
      </c>
      <c r="I43">
        <f>AVERAGEA(G42:G63)</f>
        <v>51.5</v>
      </c>
    </row>
    <row r="44" spans="1:9" x14ac:dyDescent="0.3">
      <c r="A44">
        <v>2020.3</v>
      </c>
      <c r="B44" s="6">
        <v>39026.300000000003</v>
      </c>
      <c r="C44" s="1">
        <f t="shared" si="0"/>
        <v>10.571991056808301</v>
      </c>
      <c r="D44" s="2">
        <v>44</v>
      </c>
      <c r="E44">
        <f t="shared" si="1"/>
        <v>3.784189633918261</v>
      </c>
      <c r="G44">
        <v>43</v>
      </c>
    </row>
    <row r="45" spans="1:9" x14ac:dyDescent="0.3">
      <c r="A45">
        <v>2020.4</v>
      </c>
      <c r="B45" s="6">
        <v>37572.199999999997</v>
      </c>
      <c r="C45" s="1">
        <f t="shared" si="0"/>
        <v>10.534019694213194</v>
      </c>
      <c r="D45" s="2">
        <v>45</v>
      </c>
      <c r="E45">
        <f t="shared" si="1"/>
        <v>3.8066624897703196</v>
      </c>
      <c r="G45">
        <v>44</v>
      </c>
    </row>
    <row r="46" spans="1:9" x14ac:dyDescent="0.3">
      <c r="A46">
        <v>2021.1</v>
      </c>
      <c r="B46" s="6">
        <v>35500.300000000003</v>
      </c>
      <c r="C46" s="1">
        <f t="shared" si="0"/>
        <v>10.477296426132025</v>
      </c>
      <c r="D46" s="2">
        <v>46</v>
      </c>
      <c r="E46">
        <f t="shared" si="1"/>
        <v>3.8286413964890951</v>
      </c>
      <c r="G46">
        <v>45</v>
      </c>
    </row>
    <row r="47" spans="1:9" x14ac:dyDescent="0.3">
      <c r="A47">
        <v>2021.2</v>
      </c>
      <c r="B47" s="6">
        <v>39015.699999999997</v>
      </c>
      <c r="C47" s="1">
        <f t="shared" si="0"/>
        <v>10.571719408207159</v>
      </c>
      <c r="D47" s="2">
        <v>47</v>
      </c>
      <c r="E47">
        <f t="shared" si="1"/>
        <v>3.8501476017100584</v>
      </c>
      <c r="G47">
        <v>46</v>
      </c>
    </row>
    <row r="48" spans="1:9" x14ac:dyDescent="0.3">
      <c r="A48">
        <v>2021.3</v>
      </c>
      <c r="B48" s="6">
        <v>44025.3</v>
      </c>
      <c r="C48" s="1">
        <f t="shared" si="0"/>
        <v>10.692519747651241</v>
      </c>
      <c r="D48" s="2">
        <v>48</v>
      </c>
      <c r="E48">
        <f t="shared" si="1"/>
        <v>3.8712010109078911</v>
      </c>
      <c r="G48">
        <v>47</v>
      </c>
    </row>
    <row r="49" spans="1:7" x14ac:dyDescent="0.3">
      <c r="A49">
        <v>2021.4</v>
      </c>
      <c r="B49" s="6">
        <v>42474.1</v>
      </c>
      <c r="C49" s="1">
        <f t="shared" si="0"/>
        <v>10.656649757380977</v>
      </c>
      <c r="D49" s="2">
        <v>49</v>
      </c>
      <c r="E49">
        <f t="shared" si="1"/>
        <v>3.8918202981106265</v>
      </c>
      <c r="G49">
        <v>48</v>
      </c>
    </row>
    <row r="50" spans="1:7" x14ac:dyDescent="0.3">
      <c r="A50">
        <v>2022.1</v>
      </c>
      <c r="B50" s="6">
        <v>40446.6</v>
      </c>
      <c r="C50" s="1">
        <f t="shared" si="0"/>
        <v>10.607737864565737</v>
      </c>
      <c r="D50" s="2">
        <v>50</v>
      </c>
      <c r="E50">
        <f t="shared" si="1"/>
        <v>3.912023005428146</v>
      </c>
      <c r="G50">
        <v>49</v>
      </c>
    </row>
    <row r="51" spans="1:7" x14ac:dyDescent="0.3">
      <c r="A51">
        <v>2022.2</v>
      </c>
      <c r="B51" s="6">
        <v>44851.1</v>
      </c>
      <c r="C51" s="1">
        <f t="shared" si="0"/>
        <v>10.711103393384619</v>
      </c>
      <c r="D51" s="2">
        <v>51</v>
      </c>
      <c r="E51">
        <f t="shared" si="1"/>
        <v>3.9318256327243257</v>
      </c>
      <c r="G51">
        <v>50</v>
      </c>
    </row>
    <row r="52" spans="1:7" x14ac:dyDescent="0.3">
      <c r="A52">
        <v>2022.3</v>
      </c>
      <c r="B52" s="6">
        <v>50374.1</v>
      </c>
      <c r="C52" s="1">
        <f t="shared" si="0"/>
        <v>10.827232433084422</v>
      </c>
      <c r="D52" s="2">
        <v>52</v>
      </c>
      <c r="E52">
        <f t="shared" si="1"/>
        <v>3.9512437185814275</v>
      </c>
      <c r="G52">
        <v>51</v>
      </c>
    </row>
    <row r="53" spans="1:7" x14ac:dyDescent="0.3">
      <c r="A53">
        <v>2022.4</v>
      </c>
      <c r="B53" s="6">
        <v>47736.9</v>
      </c>
      <c r="C53" s="1">
        <f t="shared" si="0"/>
        <v>10.773459962719514</v>
      </c>
      <c r="D53" s="2">
        <v>53</v>
      </c>
      <c r="E53">
        <f t="shared" si="1"/>
        <v>3.970291913552122</v>
      </c>
      <c r="G53">
        <v>52</v>
      </c>
    </row>
    <row r="54" spans="1:7" x14ac:dyDescent="0.3">
      <c r="A54">
        <v>2023.1</v>
      </c>
      <c r="B54" s="6">
        <v>44156.9</v>
      </c>
      <c r="C54" s="1">
        <f t="shared" si="0"/>
        <v>10.695504479211531</v>
      </c>
      <c r="D54" s="2">
        <v>54</v>
      </c>
      <c r="E54">
        <f t="shared" si="1"/>
        <v>3.9889840465642745</v>
      </c>
      <c r="G54">
        <v>53</v>
      </c>
    </row>
    <row r="55" spans="1:7" x14ac:dyDescent="0.3">
      <c r="A55">
        <v>2023.2</v>
      </c>
      <c r="B55" s="6">
        <v>48505.9</v>
      </c>
      <c r="C55" s="1">
        <f t="shared" si="0"/>
        <v>10.789440719011413</v>
      </c>
      <c r="D55" s="2">
        <v>55</v>
      </c>
      <c r="E55">
        <f t="shared" si="1"/>
        <v>4.0073331852324712</v>
      </c>
      <c r="G55">
        <v>54</v>
      </c>
    </row>
    <row r="56" spans="1:7" x14ac:dyDescent="0.3">
      <c r="A56">
        <v>2023.3</v>
      </c>
      <c r="B56" s="6">
        <v>53448.4</v>
      </c>
      <c r="C56" s="1">
        <f t="shared" si="0"/>
        <v>10.886471981486903</v>
      </c>
      <c r="D56" s="2">
        <v>56</v>
      </c>
      <c r="E56">
        <f t="shared" si="1"/>
        <v>4.0253516907351496</v>
      </c>
      <c r="G56">
        <v>55</v>
      </c>
    </row>
    <row r="57" spans="1:7" x14ac:dyDescent="0.3">
      <c r="A57">
        <v>2023.4</v>
      </c>
      <c r="B57" s="6">
        <v>50416.9</v>
      </c>
      <c r="C57" s="1">
        <f t="shared" si="0"/>
        <v>10.828081715313441</v>
      </c>
      <c r="D57" s="2">
        <v>57</v>
      </c>
      <c r="E57">
        <f t="shared" si="1"/>
        <v>4.0430512678345503</v>
      </c>
      <c r="G57">
        <v>56</v>
      </c>
    </row>
    <row r="58" spans="1:7" x14ac:dyDescent="0.3">
      <c r="A58">
        <v>2024.1</v>
      </c>
      <c r="B58" s="6">
        <v>45905.4</v>
      </c>
      <c r="C58" s="1">
        <f t="shared" si="0"/>
        <v>10.734338036187587</v>
      </c>
      <c r="D58" s="2">
        <v>58</v>
      </c>
      <c r="E58">
        <f t="shared" si="1"/>
        <v>4.0604430105464191</v>
      </c>
      <c r="G58">
        <v>57</v>
      </c>
    </row>
    <row r="59" spans="1:7" x14ac:dyDescent="0.3">
      <c r="A59">
        <v>2024.2</v>
      </c>
      <c r="B59" s="6">
        <v>51005</v>
      </c>
      <c r="C59" s="1">
        <f t="shared" si="0"/>
        <v>10.839678946116619</v>
      </c>
      <c r="D59" s="2">
        <v>59</v>
      </c>
      <c r="E59">
        <f t="shared" si="1"/>
        <v>4.0775374439057197</v>
      </c>
      <c r="G59">
        <v>58</v>
      </c>
    </row>
    <row r="60" spans="1:7" x14ac:dyDescent="0.3">
      <c r="A60">
        <v>2024.3</v>
      </c>
      <c r="B60" s="6">
        <v>56074</v>
      </c>
      <c r="C60" s="1">
        <f t="shared" si="0"/>
        <v>10.934427525970367</v>
      </c>
      <c r="D60" s="2">
        <v>60</v>
      </c>
      <c r="E60">
        <f t="shared" si="1"/>
        <v>4.0943445622221004</v>
      </c>
      <c r="G60">
        <v>59</v>
      </c>
    </row>
    <row r="61" spans="1:7" x14ac:dyDescent="0.3">
      <c r="A61">
        <v>2024.4</v>
      </c>
      <c r="B61" s="6">
        <v>52936</v>
      </c>
      <c r="C61" s="1">
        <f t="shared" si="0"/>
        <v>10.876838915691895</v>
      </c>
      <c r="D61" s="2">
        <v>61</v>
      </c>
      <c r="E61">
        <f t="shared" si="1"/>
        <v>4.1108738641733114</v>
      </c>
      <c r="G61">
        <v>60</v>
      </c>
    </row>
    <row r="62" spans="1:7" x14ac:dyDescent="0.3">
      <c r="A62">
        <v>2025.1</v>
      </c>
      <c r="B62" s="6">
        <v>47907.8</v>
      </c>
      <c r="C62" s="1">
        <f t="shared" si="0"/>
        <v>10.777033609390569</v>
      </c>
      <c r="D62" s="2">
        <v>62</v>
      </c>
      <c r="E62">
        <f t="shared" si="1"/>
        <v>4.1271343850450917</v>
      </c>
      <c r="G62">
        <v>61</v>
      </c>
    </row>
    <row r="63" spans="1:7" x14ac:dyDescent="0.3">
      <c r="A63">
        <v>2025.2</v>
      </c>
      <c r="B63" s="6">
        <v>53716</v>
      </c>
      <c r="C63" s="1">
        <f t="shared" si="0"/>
        <v>10.891466187701067</v>
      </c>
      <c r="D63" s="2">
        <v>63</v>
      </c>
      <c r="E63">
        <f t="shared" si="1"/>
        <v>4.1431347263915326</v>
      </c>
      <c r="G63">
        <v>62</v>
      </c>
    </row>
    <row r="65" spans="2:11" x14ac:dyDescent="0.3">
      <c r="C65" s="1"/>
    </row>
    <row r="66" spans="2:11" x14ac:dyDescent="0.3">
      <c r="B66" t="s">
        <v>96</v>
      </c>
      <c r="E66" s="1">
        <f>AVERAGE(B2:B41)</f>
        <v>40785.14499999999</v>
      </c>
      <c r="F66" s="3"/>
      <c r="G66" s="3"/>
      <c r="H66" s="3"/>
      <c r="I66" s="3"/>
      <c r="J66" s="3"/>
      <c r="K66" s="3"/>
    </row>
    <row r="67" spans="2:11" x14ac:dyDescent="0.3">
      <c r="B67" t="s">
        <v>97</v>
      </c>
      <c r="E67" s="1">
        <f>AVERAGE(B42:B63)</f>
        <v>45260.577272727278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f20a811-f17a-454b-a878-f104ad76a41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A02DD375EACAC4FB15EEC8FD8FFC49B" ma:contentTypeVersion="15" ma:contentTypeDescription="Utwórz nowy dokument." ma:contentTypeScope="" ma:versionID="f277efaaccb9604b371bfb34b8a7b02d">
  <xsd:schema xmlns:xsd="http://www.w3.org/2001/XMLSchema" xmlns:xs="http://www.w3.org/2001/XMLSchema" xmlns:p="http://schemas.microsoft.com/office/2006/metadata/properties" xmlns:ns3="df20a811-f17a-454b-a878-f104ad76a41c" xmlns:ns4="e4643e21-c9d5-45ab-a099-62e58f861c93" targetNamespace="http://schemas.microsoft.com/office/2006/metadata/properties" ma:root="true" ma:fieldsID="1023a9ed3908abd5cf15810256093846" ns3:_="" ns4:_="">
    <xsd:import namespace="df20a811-f17a-454b-a878-f104ad76a41c"/>
    <xsd:import namespace="e4643e21-c9d5-45ab-a099-62e58f861c9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earchProperties" minOccurs="0"/>
                <xsd:element ref="ns3:_activity" minOccurs="0"/>
                <xsd:element ref="ns3:MediaServiceDateTaken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20a811-f17a-454b-a878-f104ad76a4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643e21-c9d5-45ab-a099-62e58f861c93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Udostępniani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Udostępnione dla — szczegóły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krót wskazówki dotyczącej udostępniania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8DA980-E041-4F9A-8DF2-47093692E34E}">
  <ds:schemaRefs>
    <ds:schemaRef ds:uri="http://schemas.microsoft.com/office/2006/metadata/properties"/>
    <ds:schemaRef ds:uri="e4643e21-c9d5-45ab-a099-62e58f861c93"/>
    <ds:schemaRef ds:uri="http://www.w3.org/XML/1998/namespace"/>
    <ds:schemaRef ds:uri="http://purl.org/dc/elements/1.1/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purl.org/dc/dcmitype/"/>
    <ds:schemaRef ds:uri="df20a811-f17a-454b-a878-f104ad76a41c"/>
  </ds:schemaRefs>
</ds:datastoreItem>
</file>

<file path=customXml/itemProps2.xml><?xml version="1.0" encoding="utf-8"?>
<ds:datastoreItem xmlns:ds="http://schemas.openxmlformats.org/officeDocument/2006/customXml" ds:itemID="{75F1182F-CAF4-4608-99A5-03B2E59145B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400A54C-1C51-4C97-BB2B-D80412666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f20a811-f17a-454b-a878-f104ad76a41c"/>
    <ds:schemaRef ds:uri="e4643e21-c9d5-45ab-a099-62e58f861c9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9</vt:i4>
      </vt:variant>
    </vt:vector>
  </HeadingPairs>
  <TitlesOfParts>
    <vt:vector size="9" baseType="lpstr">
      <vt:lpstr>t.liniowy</vt:lpstr>
      <vt:lpstr>t.kwadratowy</vt:lpstr>
      <vt:lpstr>t.logistyczny</vt:lpstr>
      <vt:lpstr>t.potegowy</vt:lpstr>
      <vt:lpstr>t.wykładniczy</vt:lpstr>
      <vt:lpstr>Gretl</vt:lpstr>
      <vt:lpstr>t.potęgowy-analiza danych</vt:lpstr>
      <vt:lpstr>t.wykładniczy-analiza danych</vt:lpstr>
      <vt:lpstr>LOGARYTM NATURALNY OBLICZENIA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Kacper Hołowaty</dc:creator>
  <cp:lastModifiedBy>Kacper Hołowaty</cp:lastModifiedBy>
  <dcterms:created xsi:type="dcterms:W3CDTF">2025-11-20T12:50:00Z</dcterms:created>
  <dcterms:modified xsi:type="dcterms:W3CDTF">2025-12-22T12:45:38Z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0x010100AA02DD375EACAC4FB15EEC8FD8FFC49B</vt:lpwstr>
  </property>
</Properties>
</file>