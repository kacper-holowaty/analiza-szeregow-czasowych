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cpe\.vscode\extensions\studia\time_series\lab03\"/>
    </mc:Choice>
  </mc:AlternateContent>
  <xr:revisionPtr revIDLastSave="0" documentId="13_ncr:1_{D6D62656-37C3-4D14-B550-5C0C321D655B}" xr6:coauthVersionLast="47" xr6:coauthVersionMax="47" xr10:uidLastSave="{00000000-0000-0000-0000-000000000000}"/>
  <bookViews>
    <workbookView xWindow="-108" yWindow="-108" windowWidth="23256" windowHeight="12456" firstSheet="3" activeTab="5" xr2:uid="{2977F778-294C-41E8-84DB-D41E801134F5}"/>
  </bookViews>
  <sheets>
    <sheet name="t.liniowy" sheetId="1" r:id="rId1"/>
    <sheet name="t.potęgowy" sheetId="5" r:id="rId2"/>
    <sheet name="t.wykładniczy" sheetId="6" r:id="rId3"/>
    <sheet name="LOGARYTM NATURALNY OBLICZENIA" sheetId="3" r:id="rId4"/>
    <sheet name="t.potegowy-analiza danych" sheetId="4" r:id="rId5"/>
    <sheet name="t.wykładniczy-analiza danych" sheetId="8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5" l="1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2" i="5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2" i="6"/>
  <c r="D38" i="6" a="1"/>
  <c r="D38" i="6" s="1"/>
  <c r="B33" i="6"/>
  <c r="J33" i="6" s="1"/>
  <c r="B32" i="6"/>
  <c r="B31" i="6"/>
  <c r="B30" i="6"/>
  <c r="B29" i="6"/>
  <c r="G29" i="6" s="1"/>
  <c r="H29" i="6" s="1"/>
  <c r="B28" i="6"/>
  <c r="B27" i="6"/>
  <c r="B26" i="6"/>
  <c r="B25" i="6"/>
  <c r="B24" i="6"/>
  <c r="B23" i="6"/>
  <c r="G23" i="6" s="1"/>
  <c r="H23" i="6" s="1"/>
  <c r="B22" i="6"/>
  <c r="B21" i="6"/>
  <c r="G21" i="6" s="1"/>
  <c r="H21" i="6" s="1"/>
  <c r="B20" i="6"/>
  <c r="G20" i="6" s="1"/>
  <c r="H20" i="6" s="1"/>
  <c r="B19" i="6"/>
  <c r="B18" i="6"/>
  <c r="G18" i="6" s="1"/>
  <c r="H18" i="6" s="1"/>
  <c r="B17" i="6"/>
  <c r="G17" i="6" s="1"/>
  <c r="H17" i="6" s="1"/>
  <c r="B16" i="6"/>
  <c r="B15" i="6"/>
  <c r="B14" i="6"/>
  <c r="B13" i="6"/>
  <c r="J13" i="6" s="1"/>
  <c r="B12" i="6"/>
  <c r="G12" i="6" s="1"/>
  <c r="H12" i="6" s="1"/>
  <c r="B11" i="6"/>
  <c r="B10" i="6"/>
  <c r="B9" i="6"/>
  <c r="J10" i="6" s="1"/>
  <c r="B8" i="6"/>
  <c r="B7" i="6"/>
  <c r="B6" i="6"/>
  <c r="G6" i="6" s="1"/>
  <c r="H6" i="6" s="1"/>
  <c r="B5" i="6"/>
  <c r="B4" i="6"/>
  <c r="G4" i="6" s="1"/>
  <c r="H4" i="6" s="1"/>
  <c r="B3" i="6"/>
  <c r="G3" i="6" s="1"/>
  <c r="H3" i="6" s="1"/>
  <c r="B2" i="6"/>
  <c r="D38" i="5" a="1"/>
  <c r="B33" i="5"/>
  <c r="B32" i="5"/>
  <c r="G32" i="5" s="1"/>
  <c r="H32" i="5" s="1"/>
  <c r="B31" i="5"/>
  <c r="G31" i="5" s="1"/>
  <c r="H31" i="5" s="1"/>
  <c r="B30" i="5"/>
  <c r="G30" i="5" s="1"/>
  <c r="H30" i="5" s="1"/>
  <c r="B29" i="5"/>
  <c r="G29" i="5" s="1"/>
  <c r="H29" i="5" s="1"/>
  <c r="B28" i="5"/>
  <c r="G28" i="5" s="1"/>
  <c r="H28" i="5" s="1"/>
  <c r="B27" i="5"/>
  <c r="G27" i="5" s="1"/>
  <c r="H27" i="5" s="1"/>
  <c r="B26" i="5"/>
  <c r="G26" i="5" s="1"/>
  <c r="H26" i="5" s="1"/>
  <c r="B25" i="5"/>
  <c r="G25" i="5" s="1"/>
  <c r="H25" i="5" s="1"/>
  <c r="B24" i="5"/>
  <c r="G24" i="5" s="1"/>
  <c r="H24" i="5" s="1"/>
  <c r="B23" i="5"/>
  <c r="G23" i="5" s="1"/>
  <c r="H23" i="5" s="1"/>
  <c r="B22" i="5"/>
  <c r="G22" i="5" s="1"/>
  <c r="H22" i="5" s="1"/>
  <c r="B21" i="5"/>
  <c r="G21" i="5" s="1"/>
  <c r="H21" i="5" s="1"/>
  <c r="B20" i="5"/>
  <c r="G20" i="5" s="1"/>
  <c r="H20" i="5" s="1"/>
  <c r="B19" i="5"/>
  <c r="G19" i="5" s="1"/>
  <c r="H19" i="5" s="1"/>
  <c r="B18" i="5"/>
  <c r="G18" i="5" s="1"/>
  <c r="H18" i="5" s="1"/>
  <c r="B17" i="5"/>
  <c r="G17" i="5" s="1"/>
  <c r="H17" i="5" s="1"/>
  <c r="B16" i="5"/>
  <c r="G16" i="5" s="1"/>
  <c r="H16" i="5" s="1"/>
  <c r="B15" i="5"/>
  <c r="G15" i="5" s="1"/>
  <c r="H15" i="5" s="1"/>
  <c r="B14" i="5"/>
  <c r="G14" i="5" s="1"/>
  <c r="H14" i="5" s="1"/>
  <c r="B13" i="5"/>
  <c r="G13" i="5" s="1"/>
  <c r="H13" i="5" s="1"/>
  <c r="B12" i="5"/>
  <c r="G12" i="5" s="1"/>
  <c r="H12" i="5" s="1"/>
  <c r="B11" i="5"/>
  <c r="G11" i="5" s="1"/>
  <c r="H11" i="5" s="1"/>
  <c r="B10" i="5"/>
  <c r="G10" i="5" s="1"/>
  <c r="H10" i="5" s="1"/>
  <c r="B9" i="5"/>
  <c r="G9" i="5" s="1"/>
  <c r="H9" i="5" s="1"/>
  <c r="B8" i="5"/>
  <c r="G8" i="5" s="1"/>
  <c r="H8" i="5" s="1"/>
  <c r="B7" i="5"/>
  <c r="G7" i="5" s="1"/>
  <c r="H7" i="5" s="1"/>
  <c r="B6" i="5"/>
  <c r="G6" i="5" s="1"/>
  <c r="H6" i="5" s="1"/>
  <c r="B5" i="5"/>
  <c r="G5" i="5" s="1"/>
  <c r="H5" i="5" s="1"/>
  <c r="B4" i="5"/>
  <c r="G4" i="5" s="1"/>
  <c r="H4" i="5" s="1"/>
  <c r="B3" i="5"/>
  <c r="G3" i="5" s="1"/>
  <c r="H3" i="5" s="1"/>
  <c r="B2" i="5"/>
  <c r="G2" i="5" s="1"/>
  <c r="H2" i="5" s="1"/>
  <c r="J7" i="6" l="1"/>
  <c r="J15" i="6"/>
  <c r="G33" i="5"/>
  <c r="H33" i="5" s="1"/>
  <c r="I54" i="5"/>
  <c r="J26" i="6"/>
  <c r="J4" i="6"/>
  <c r="J11" i="6"/>
  <c r="J24" i="6"/>
  <c r="G14" i="6"/>
  <c r="H14" i="6" s="1"/>
  <c r="J5" i="6"/>
  <c r="J18" i="6"/>
  <c r="J12" i="6"/>
  <c r="J8" i="6"/>
  <c r="J28" i="6"/>
  <c r="G26" i="6"/>
  <c r="H26" i="6" s="1"/>
  <c r="G10" i="6"/>
  <c r="H10" i="6" s="1"/>
  <c r="I54" i="6"/>
  <c r="J21" i="6"/>
  <c r="G33" i="6"/>
  <c r="H33" i="6" s="1"/>
  <c r="G9" i="6"/>
  <c r="H9" i="6" s="1"/>
  <c r="J17" i="6"/>
  <c r="J22" i="6"/>
  <c r="J29" i="6"/>
  <c r="G32" i="6"/>
  <c r="H32" i="6" s="1"/>
  <c r="G8" i="6"/>
  <c r="H8" i="6" s="1"/>
  <c r="G31" i="6"/>
  <c r="H31" i="6" s="1"/>
  <c r="G15" i="6"/>
  <c r="H15" i="6" s="1"/>
  <c r="G24" i="6"/>
  <c r="H24" i="6" s="1"/>
  <c r="B35" i="6"/>
  <c r="J19" i="6"/>
  <c r="J30" i="6"/>
  <c r="G7" i="6"/>
  <c r="H7" i="6" s="1"/>
  <c r="J31" i="6"/>
  <c r="G30" i="6"/>
  <c r="H30" i="6" s="1"/>
  <c r="G22" i="6"/>
  <c r="H22" i="6" s="1"/>
  <c r="J3" i="6"/>
  <c r="J9" i="6"/>
  <c r="J14" i="6"/>
  <c r="J20" i="6"/>
  <c r="J32" i="6"/>
  <c r="G13" i="6"/>
  <c r="H13" i="6" s="1"/>
  <c r="G5" i="6"/>
  <c r="H5" i="6" s="1"/>
  <c r="G16" i="6"/>
  <c r="H16" i="6" s="1"/>
  <c r="J25" i="6"/>
  <c r="J27" i="6"/>
  <c r="G28" i="6"/>
  <c r="H28" i="6" s="1"/>
  <c r="G27" i="6"/>
  <c r="H27" i="6" s="1"/>
  <c r="G19" i="6"/>
  <c r="H19" i="6" s="1"/>
  <c r="G11" i="6"/>
  <c r="H11" i="6" s="1"/>
  <c r="G2" i="6"/>
  <c r="H2" i="6" s="1"/>
  <c r="J23" i="6"/>
  <c r="G25" i="6"/>
  <c r="H25" i="6" s="1"/>
  <c r="D46" i="6" a="1"/>
  <c r="D46" i="6" s="1"/>
  <c r="J6" i="6"/>
  <c r="J16" i="6"/>
  <c r="D42" i="6" a="1"/>
  <c r="J22" i="5"/>
  <c r="J18" i="5"/>
  <c r="J10" i="5"/>
  <c r="J26" i="5"/>
  <c r="J14" i="5"/>
  <c r="J15" i="5"/>
  <c r="J17" i="5"/>
  <c r="J33" i="5"/>
  <c r="J4" i="5"/>
  <c r="J5" i="5"/>
  <c r="J21" i="5"/>
  <c r="J30" i="5"/>
  <c r="J6" i="5"/>
  <c r="M3" i="5" s="1"/>
  <c r="J27" i="5"/>
  <c r="J31" i="5"/>
  <c r="J20" i="5"/>
  <c r="J16" i="5"/>
  <c r="J32" i="5"/>
  <c r="J12" i="5"/>
  <c r="J8" i="5"/>
  <c r="J13" i="5"/>
  <c r="J24" i="5"/>
  <c r="J29" i="5"/>
  <c r="D38" i="5"/>
  <c r="D42" i="5" s="1" a="1"/>
  <c r="D42" i="5" s="1"/>
  <c r="G42" i="5" s="1" a="1"/>
  <c r="J28" i="5"/>
  <c r="J3" i="5"/>
  <c r="J19" i="5"/>
  <c r="J23" i="5"/>
  <c r="J9" i="5"/>
  <c r="J25" i="5"/>
  <c r="B35" i="5"/>
  <c r="J7" i="5"/>
  <c r="J11" i="5"/>
  <c r="M6" i="6" l="1"/>
  <c r="M4" i="6"/>
  <c r="H35" i="6"/>
  <c r="I46" i="6" s="1"/>
  <c r="M5" i="5"/>
  <c r="M3" i="6"/>
  <c r="M5" i="6"/>
  <c r="G42" i="6" a="1"/>
  <c r="D42" i="6"/>
  <c r="M6" i="5"/>
  <c r="M4" i="5"/>
  <c r="D46" i="5" a="1"/>
  <c r="D46" i="5" s="1"/>
  <c r="G42" i="5"/>
  <c r="G42" i="6" l="1"/>
  <c r="D54" i="6" s="1"/>
  <c r="E54" i="6"/>
  <c r="E55" i="6"/>
  <c r="D55" i="6"/>
  <c r="M8" i="6"/>
  <c r="N5" i="6" s="1"/>
  <c r="M8" i="5"/>
  <c r="N5" i="5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2" i="3"/>
  <c r="B33" i="3"/>
  <c r="C33" i="3" s="1"/>
  <c r="B32" i="3"/>
  <c r="C32" i="3" s="1"/>
  <c r="B31" i="3"/>
  <c r="C31" i="3" s="1"/>
  <c r="B30" i="3"/>
  <c r="C30" i="3" s="1"/>
  <c r="B29" i="3"/>
  <c r="C29" i="3" s="1"/>
  <c r="B28" i="3"/>
  <c r="C28" i="3" s="1"/>
  <c r="B27" i="3"/>
  <c r="C27" i="3" s="1"/>
  <c r="B26" i="3"/>
  <c r="C26" i="3" s="1"/>
  <c r="B25" i="3"/>
  <c r="C25" i="3" s="1"/>
  <c r="B24" i="3"/>
  <c r="C24" i="3" s="1"/>
  <c r="B23" i="3"/>
  <c r="C23" i="3" s="1"/>
  <c r="B22" i="3"/>
  <c r="C22" i="3" s="1"/>
  <c r="B21" i="3"/>
  <c r="C21" i="3" s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7" i="3"/>
  <c r="C7" i="3" s="1"/>
  <c r="B6" i="3"/>
  <c r="C6" i="3" s="1"/>
  <c r="B5" i="3"/>
  <c r="C5" i="3" s="1"/>
  <c r="B4" i="3"/>
  <c r="C4" i="3" s="1"/>
  <c r="B3" i="3"/>
  <c r="C3" i="3" s="1"/>
  <c r="B2" i="3"/>
  <c r="C2" i="3" s="1"/>
  <c r="N3" i="6" l="1"/>
  <c r="K10" i="6" s="1"/>
  <c r="N4" i="6"/>
  <c r="N6" i="6"/>
  <c r="K8" i="6"/>
  <c r="K20" i="6"/>
  <c r="K28" i="6"/>
  <c r="K32" i="6"/>
  <c r="K24" i="6"/>
  <c r="K12" i="6"/>
  <c r="K4" i="6"/>
  <c r="K16" i="6"/>
  <c r="N4" i="5"/>
  <c r="K11" i="5" s="1"/>
  <c r="N3" i="5"/>
  <c r="K10" i="5" s="1"/>
  <c r="N6" i="5"/>
  <c r="K17" i="5" s="1"/>
  <c r="K30" i="5"/>
  <c r="K22" i="5"/>
  <c r="K24" i="5"/>
  <c r="K16" i="5"/>
  <c r="K12" i="5"/>
  <c r="K32" i="5"/>
  <c r="K28" i="5"/>
  <c r="K4" i="5"/>
  <c r="K20" i="5"/>
  <c r="K8" i="5"/>
  <c r="B35" i="3"/>
  <c r="K6" i="6" l="1"/>
  <c r="K6" i="5"/>
  <c r="K22" i="6"/>
  <c r="K30" i="6"/>
  <c r="K14" i="6"/>
  <c r="K18" i="6"/>
  <c r="K26" i="6"/>
  <c r="K19" i="6"/>
  <c r="K23" i="6"/>
  <c r="K27" i="6"/>
  <c r="K31" i="6"/>
  <c r="K15" i="6"/>
  <c r="K3" i="6"/>
  <c r="K11" i="6"/>
  <c r="K7" i="6"/>
  <c r="K25" i="6"/>
  <c r="K13" i="6"/>
  <c r="K29" i="6"/>
  <c r="K17" i="6"/>
  <c r="K21" i="6"/>
  <c r="K33" i="6"/>
  <c r="K5" i="6"/>
  <c r="K9" i="6"/>
  <c r="N8" i="6"/>
  <c r="K25" i="5"/>
  <c r="K14" i="5"/>
  <c r="K21" i="5"/>
  <c r="K29" i="5"/>
  <c r="K26" i="5"/>
  <c r="K5" i="5"/>
  <c r="K18" i="5"/>
  <c r="K9" i="5"/>
  <c r="K13" i="5"/>
  <c r="K33" i="5"/>
  <c r="K31" i="5"/>
  <c r="K15" i="5"/>
  <c r="N8" i="5"/>
  <c r="K27" i="5"/>
  <c r="K7" i="5"/>
  <c r="K23" i="5"/>
  <c r="K19" i="5"/>
  <c r="K3" i="5"/>
  <c r="H35" i="5"/>
  <c r="I46" i="5" s="1"/>
  <c r="D38" i="1" a="1"/>
  <c r="D38" i="1" s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E54" i="5" l="1"/>
  <c r="D54" i="5"/>
  <c r="D55" i="5"/>
  <c r="E55" i="5"/>
  <c r="B35" i="1"/>
  <c r="I55" i="1" s="1"/>
  <c r="D42" i="1" a="1"/>
  <c r="D46" i="1" a="1"/>
  <c r="D46" i="1" s="1"/>
  <c r="J22" i="1"/>
  <c r="J3" i="1"/>
  <c r="J4" i="1"/>
  <c r="J12" i="1"/>
  <c r="J27" i="1"/>
  <c r="J30" i="1"/>
  <c r="J23" i="1"/>
  <c r="J9" i="1"/>
  <c r="J11" i="1"/>
  <c r="J19" i="1"/>
  <c r="J6" i="1"/>
  <c r="J14" i="1"/>
  <c r="J29" i="1"/>
  <c r="J16" i="1"/>
  <c r="J31" i="1"/>
  <c r="J25" i="1"/>
  <c r="J33" i="1"/>
  <c r="J7" i="1"/>
  <c r="J20" i="1"/>
  <c r="J8" i="1"/>
  <c r="J21" i="1"/>
  <c r="J15" i="1"/>
  <c r="J28" i="1"/>
  <c r="J17" i="1"/>
  <c r="J5" i="1"/>
  <c r="J24" i="1"/>
  <c r="J13" i="1"/>
  <c r="J32" i="1"/>
  <c r="J10" i="1"/>
  <c r="J18" i="1"/>
  <c r="J26" i="1"/>
  <c r="O6" i="1" l="1"/>
  <c r="O3" i="1"/>
  <c r="O5" i="1"/>
  <c r="O4" i="1"/>
  <c r="D42" i="1"/>
  <c r="G42" i="1" s="1" a="1"/>
  <c r="G42" i="1" l="1"/>
  <c r="D49" i="1" s="1" a="1"/>
  <c r="O8" i="1"/>
  <c r="D49" i="1" l="1"/>
  <c r="F3" i="1" s="1"/>
  <c r="G3" i="1" s="1"/>
  <c r="H3" i="1" s="1"/>
  <c r="P6" i="1"/>
  <c r="P5" i="1"/>
  <c r="P4" i="1"/>
  <c r="P3" i="1"/>
  <c r="F2" i="1" l="1"/>
  <c r="G2" i="1" s="1"/>
  <c r="H2" i="1" s="1"/>
  <c r="F16" i="1"/>
  <c r="G16" i="1" s="1"/>
  <c r="H16" i="1" s="1"/>
  <c r="F33" i="1"/>
  <c r="G33" i="1" s="1"/>
  <c r="H33" i="1" s="1"/>
  <c r="F14" i="1"/>
  <c r="G14" i="1" s="1"/>
  <c r="H14" i="1" s="1"/>
  <c r="F31" i="1"/>
  <c r="G31" i="1" s="1"/>
  <c r="H31" i="1" s="1"/>
  <c r="F6" i="1"/>
  <c r="G6" i="1" s="1"/>
  <c r="H6" i="1" s="1"/>
  <c r="F12" i="1"/>
  <c r="G12" i="1" s="1"/>
  <c r="H12" i="1" s="1"/>
  <c r="F17" i="1"/>
  <c r="G17" i="1" s="1"/>
  <c r="H17" i="1" s="1"/>
  <c r="F23" i="1"/>
  <c r="G23" i="1" s="1"/>
  <c r="H23" i="1" s="1"/>
  <c r="F29" i="1"/>
  <c r="G29" i="1" s="1"/>
  <c r="H29" i="1" s="1"/>
  <c r="F4" i="1"/>
  <c r="G4" i="1" s="1"/>
  <c r="H4" i="1" s="1"/>
  <c r="F19" i="1"/>
  <c r="G19" i="1" s="1"/>
  <c r="H19" i="1" s="1"/>
  <c r="F28" i="1"/>
  <c r="G28" i="1" s="1"/>
  <c r="H28" i="1" s="1"/>
  <c r="F20" i="1"/>
  <c r="G20" i="1" s="1"/>
  <c r="H20" i="1" s="1"/>
  <c r="F9" i="1"/>
  <c r="G9" i="1" s="1"/>
  <c r="H9" i="1" s="1"/>
  <c r="F27" i="1"/>
  <c r="G27" i="1" s="1"/>
  <c r="H27" i="1" s="1"/>
  <c r="F10" i="1"/>
  <c r="G10" i="1" s="1"/>
  <c r="H10" i="1" s="1"/>
  <c r="F7" i="1"/>
  <c r="G7" i="1" s="1"/>
  <c r="H7" i="1" s="1"/>
  <c r="F32" i="1"/>
  <c r="G32" i="1" s="1"/>
  <c r="H32" i="1" s="1"/>
  <c r="F5" i="1"/>
  <c r="G5" i="1" s="1"/>
  <c r="H5" i="1" s="1"/>
  <c r="F11" i="1"/>
  <c r="G11" i="1" s="1"/>
  <c r="H11" i="1" s="1"/>
  <c r="F22" i="1"/>
  <c r="G22" i="1" s="1"/>
  <c r="H22" i="1" s="1"/>
  <c r="F8" i="1"/>
  <c r="G8" i="1" s="1"/>
  <c r="H8" i="1" s="1"/>
  <c r="F25" i="1"/>
  <c r="G25" i="1" s="1"/>
  <c r="H25" i="1" s="1"/>
  <c r="F15" i="1"/>
  <c r="G15" i="1" s="1"/>
  <c r="H15" i="1" s="1"/>
  <c r="F21" i="1"/>
  <c r="G21" i="1" s="1"/>
  <c r="H21" i="1" s="1"/>
  <c r="F13" i="1"/>
  <c r="G13" i="1" s="1"/>
  <c r="H13" i="1" s="1"/>
  <c r="F26" i="1"/>
  <c r="G26" i="1" s="1"/>
  <c r="H26" i="1" s="1"/>
  <c r="F24" i="1"/>
  <c r="G24" i="1" s="1"/>
  <c r="H24" i="1" s="1"/>
  <c r="F30" i="1"/>
  <c r="G30" i="1" s="1"/>
  <c r="H30" i="1" s="1"/>
  <c r="F18" i="1"/>
  <c r="G18" i="1" s="1"/>
  <c r="H18" i="1" s="1"/>
  <c r="K9" i="1"/>
  <c r="K21" i="1"/>
  <c r="K29" i="1"/>
  <c r="K17" i="1"/>
  <c r="K33" i="1"/>
  <c r="K5" i="1"/>
  <c r="K13" i="1"/>
  <c r="K25" i="1"/>
  <c r="K8" i="1"/>
  <c r="K16" i="1"/>
  <c r="K28" i="1"/>
  <c r="K4" i="1"/>
  <c r="K20" i="1"/>
  <c r="K24" i="1"/>
  <c r="K32" i="1"/>
  <c r="K12" i="1"/>
  <c r="K27" i="1"/>
  <c r="K19" i="1"/>
  <c r="K11" i="1"/>
  <c r="K3" i="1"/>
  <c r="K31" i="1"/>
  <c r="K7" i="1"/>
  <c r="K23" i="1"/>
  <c r="K15" i="1"/>
  <c r="P8" i="1"/>
  <c r="K6" i="1"/>
  <c r="K30" i="1"/>
  <c r="K14" i="1"/>
  <c r="K22" i="1"/>
  <c r="K26" i="1"/>
  <c r="K18" i="1"/>
  <c r="K10" i="1"/>
  <c r="H35" i="1" l="1"/>
  <c r="I46" i="1" s="1"/>
  <c r="E55" i="1" s="1"/>
  <c r="E50" i="1" s="1"/>
  <c r="F50" i="1" s="1"/>
  <c r="G50" i="1" s="1"/>
  <c r="D54" i="1" l="1"/>
  <c r="E49" i="1" s="1"/>
  <c r="F49" i="1" s="1"/>
  <c r="G49" i="1" s="1"/>
  <c r="D55" i="1"/>
  <c r="E5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<sst xmlns="http://schemas.openxmlformats.org/spreadsheetml/2006/main" count="126" uniqueCount="57">
  <si>
    <t>Daty</t>
  </si>
  <si>
    <t>GVA</t>
  </si>
  <si>
    <t>Przyrost kwartalny</t>
  </si>
  <si>
    <t>Wahania losowe</t>
  </si>
  <si>
    <t>wskaźniki</t>
  </si>
  <si>
    <t>surowe</t>
  </si>
  <si>
    <t>oczyszczone</t>
  </si>
  <si>
    <t>kw1</t>
  </si>
  <si>
    <t>kw2</t>
  </si>
  <si>
    <t>kw3</t>
  </si>
  <si>
    <t>kw4</t>
  </si>
  <si>
    <t>beta0^</t>
  </si>
  <si>
    <t>beta1^</t>
  </si>
  <si>
    <t>y^</t>
  </si>
  <si>
    <t>gva-trend</t>
  </si>
  <si>
    <t>(gva-trend)^2</t>
  </si>
  <si>
    <t>wariancja reszt</t>
  </si>
  <si>
    <t>szybkość</t>
  </si>
  <si>
    <t>tempo</t>
  </si>
  <si>
    <t>macierz wariancji kowariancji</t>
  </si>
  <si>
    <t>błąd</t>
  </si>
  <si>
    <t>t-stat</t>
  </si>
  <si>
    <t>p-value</t>
  </si>
  <si>
    <t>ln(gva)</t>
  </si>
  <si>
    <t>ln(t)</t>
  </si>
  <si>
    <t>PODSUMOWANIE - WYJŚCIE</t>
  </si>
  <si>
    <t>Statystyki regresji</t>
  </si>
  <si>
    <t>Wielokrotność R</t>
  </si>
  <si>
    <t>R kwadrat</t>
  </si>
  <si>
    <t>Dopasowany R kwadrat</t>
  </si>
  <si>
    <t>Błąd standardowy</t>
  </si>
  <si>
    <t>Obserwacje</t>
  </si>
  <si>
    <t>ANALIZA WARIANCJI</t>
  </si>
  <si>
    <t>Regresja</t>
  </si>
  <si>
    <t>Resztkowy</t>
  </si>
  <si>
    <t>Razem</t>
  </si>
  <si>
    <t>Przecięcie</t>
  </si>
  <si>
    <t>df</t>
  </si>
  <si>
    <t>SS</t>
  </si>
  <si>
    <t>MS</t>
  </si>
  <si>
    <t>F</t>
  </si>
  <si>
    <t>Istotność F</t>
  </si>
  <si>
    <t>Współczynniki</t>
  </si>
  <si>
    <t>t Stat</t>
  </si>
  <si>
    <t>Wartość-p</t>
  </si>
  <si>
    <t>Dolne 95%</t>
  </si>
  <si>
    <t>Górne 95%</t>
  </si>
  <si>
    <t>Dolne 95,0%</t>
  </si>
  <si>
    <t>Górne 95,0%</t>
  </si>
  <si>
    <t>Zmienna X 1</t>
  </si>
  <si>
    <t>Przeciętnie rzecz biorąc, z kwartału na kwartał gva rosła 0.44 %.</t>
  </si>
  <si>
    <t>Przeciętnie rzecz biorąc, z kwartału na kwartał gva rosła 0.14 %.</t>
  </si>
  <si>
    <t>t</t>
  </si>
  <si>
    <t>Przeciętnie rzecz biorąc, z kwartału na kwartał gva rosła o 211 mln euro.</t>
  </si>
  <si>
    <t>Przeciętnie rzecz biorąc, z kwartału na kwartał gva rosła o 75.66 mln euro.</t>
  </si>
  <si>
    <t>Przeciętnie rzecz biorąc, z kwartału na kwartał gva rosła o 228 mln euro.</t>
  </si>
  <si>
    <t>Przeciętnie rzecz biorąc, z kwartału na kwartał gva rosła 0.43 %.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</si>
</sst>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3" fontId="0" fillId="3" borderId="0" xfId="0" applyNumberFormat="1" applyFill="1"/>
    <xf numFmtId="3" fontId="0" fillId="0" borderId="0" xfId="0" applyNumberFormat="1"/>
    <xf numFmtId="0" fontId="0" fillId="4" borderId="0" xfId="0" applyFill="1"/>
    <xf numFmtId="0" fontId="0" fillId="2" borderId="0" xfId="0" applyFill="1"/>
    <xf numFmtId="164" fontId="0" fillId="5" borderId="0" xfId="0" applyNumberFormat="1" applyFill="1"/>
    <xf numFmtId="3" fontId="1" fillId="0" borderId="0" xfId="0" applyNumberFormat="1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10" fontId="0" fillId="0" borderId="0" xfId="0" applyNumberFormat="1"/>
    <xf numFmtId="4" fontId="0" fillId="0" borderId="0" xfId="0" applyNumberFormat="1"/>
    <xf numFmtId="0" fontId="0" fillId="0" borderId="0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97003499562554"/>
          <c:y val="6.0185185185185182E-2"/>
          <c:w val="0.8334744094488189"/>
          <c:h val="0.79224482356372117"/>
        </c:manualLayout>
      </c:layout>
      <c:lineChart>
        <c:grouping val="standard"/>
        <c:varyColors val="0"/>
        <c:ser>
          <c:idx val="0"/>
          <c:order val="0"/>
          <c:tx>
            <c:strRef>
              <c:f>t.liniowy!$B$1</c:f>
              <c:strCache>
                <c:ptCount val="1"/>
                <c:pt idx="0">
                  <c:v>GVA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t.liniowy!$B$2:$B$33</c:f>
              <c:numCache>
                <c:formatCode>#\ ##0.0</c:formatCode>
                <c:ptCount val="32"/>
                <c:pt idx="0">
                  <c:v>42947.211172552692</c:v>
                </c:pt>
                <c:pt idx="1">
                  <c:v>45765.543870669237</c:v>
                </c:pt>
                <c:pt idx="2">
                  <c:v>49129.94546118634</c:v>
                </c:pt>
                <c:pt idx="3">
                  <c:v>46441.651601984864</c:v>
                </c:pt>
                <c:pt idx="4">
                  <c:v>43493.633431363356</c:v>
                </c:pt>
                <c:pt idx="5">
                  <c:v>46897.965426221235</c:v>
                </c:pt>
                <c:pt idx="6">
                  <c:v>49690.737954007549</c:v>
                </c:pt>
                <c:pt idx="7">
                  <c:v>47382.784140871947</c:v>
                </c:pt>
                <c:pt idx="8">
                  <c:v>43867.612882047521</c:v>
                </c:pt>
                <c:pt idx="9">
                  <c:v>47970.314692057022</c:v>
                </c:pt>
                <c:pt idx="10">
                  <c:v>51163.569151284646</c:v>
                </c:pt>
                <c:pt idx="11">
                  <c:v>47785.150693167096</c:v>
                </c:pt>
                <c:pt idx="12">
                  <c:v>42853.686862680821</c:v>
                </c:pt>
                <c:pt idx="13">
                  <c:v>40544.437372708206</c:v>
                </c:pt>
                <c:pt idx="14">
                  <c:v>45910.541887611667</c:v>
                </c:pt>
                <c:pt idx="15">
                  <c:v>44119.209766035354</c:v>
                </c:pt>
                <c:pt idx="16">
                  <c:v>42176.401243331544</c:v>
                </c:pt>
                <c:pt idx="17">
                  <c:v>45747.993338967841</c:v>
                </c:pt>
                <c:pt idx="18">
                  <c:v>51321.406147793867</c:v>
                </c:pt>
                <c:pt idx="19">
                  <c:v>48273.267494312036</c:v>
                </c:pt>
                <c:pt idx="20">
                  <c:v>44808.038688114408</c:v>
                </c:pt>
                <c:pt idx="21">
                  <c:v>48741.006832474814</c:v>
                </c:pt>
                <c:pt idx="22">
                  <c:v>53648.206169467885</c:v>
                </c:pt>
                <c:pt idx="23">
                  <c:v>50252.119390845575</c:v>
                </c:pt>
                <c:pt idx="24">
                  <c:v>46139.641110156772</c:v>
                </c:pt>
                <c:pt idx="25">
                  <c:v>49919.483810142548</c:v>
                </c:pt>
                <c:pt idx="26">
                  <c:v>54355.52793367525</c:v>
                </c:pt>
                <c:pt idx="27">
                  <c:v>51381.596226313428</c:v>
                </c:pt>
                <c:pt idx="28">
                  <c:v>46441.887179591591</c:v>
                </c:pt>
                <c:pt idx="29">
                  <c:v>51057.677017059439</c:v>
                </c:pt>
                <c:pt idx="30">
                  <c:v>55424.343535410102</c:v>
                </c:pt>
                <c:pt idx="31">
                  <c:v>52502.592267939013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A-4F35-9488-068592A01A80}"/>
            </c:ext>
          </c:extLst>
        </c:ser>
        <c:ser>
          <c:idx val="4"/>
          <c:order val="4"/>
          <c:tx>
            <c:strRef>
              <c:f>t.liniowy!$F$1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t.liniowy!$F$2:$F$33</c:f>
              <c:numCache>
                <c:formatCode>#\ ##0.0</c:formatCode>
                <c:ptCount val="32"/>
                <c:pt idx="0">
                  <c:v>44473.171143438507</c:v>
                </c:pt>
                <c:pt idx="1">
                  <c:v>44684.892329249022</c:v>
                </c:pt>
                <c:pt idx="2">
                  <c:v>44896.613515059529</c:v>
                </c:pt>
                <c:pt idx="3">
                  <c:v>45108.334700870037</c:v>
                </c:pt>
                <c:pt idx="4">
                  <c:v>45320.055886680551</c:v>
                </c:pt>
                <c:pt idx="5">
                  <c:v>45531.777072491059</c:v>
                </c:pt>
                <c:pt idx="6">
                  <c:v>45743.498258301566</c:v>
                </c:pt>
                <c:pt idx="7">
                  <c:v>45955.219444112074</c:v>
                </c:pt>
                <c:pt idx="8">
                  <c:v>46166.940629922581</c:v>
                </c:pt>
                <c:pt idx="9">
                  <c:v>46378.661815733096</c:v>
                </c:pt>
                <c:pt idx="10">
                  <c:v>46590.383001543603</c:v>
                </c:pt>
                <c:pt idx="11">
                  <c:v>46802.104187354111</c:v>
                </c:pt>
                <c:pt idx="12">
                  <c:v>47013.825373164625</c:v>
                </c:pt>
                <c:pt idx="13">
                  <c:v>47225.546558975133</c:v>
                </c:pt>
                <c:pt idx="14">
                  <c:v>47437.26774478564</c:v>
                </c:pt>
                <c:pt idx="15">
                  <c:v>47648.988930596148</c:v>
                </c:pt>
                <c:pt idx="16">
                  <c:v>47860.710116406655</c:v>
                </c:pt>
                <c:pt idx="17">
                  <c:v>48072.43130221717</c:v>
                </c:pt>
                <c:pt idx="18">
                  <c:v>48284.152488027677</c:v>
                </c:pt>
                <c:pt idx="19">
                  <c:v>48495.873673838185</c:v>
                </c:pt>
                <c:pt idx="20">
                  <c:v>48707.5948596487</c:v>
                </c:pt>
                <c:pt idx="21">
                  <c:v>48919.316045459207</c:v>
                </c:pt>
                <c:pt idx="22">
                  <c:v>49131.037231269715</c:v>
                </c:pt>
                <c:pt idx="23">
                  <c:v>49342.758417080222</c:v>
                </c:pt>
                <c:pt idx="24">
                  <c:v>49554.479602890729</c:v>
                </c:pt>
                <c:pt idx="25">
                  <c:v>49766.200788701244</c:v>
                </c:pt>
                <c:pt idx="26">
                  <c:v>49977.921974511752</c:v>
                </c:pt>
                <c:pt idx="27">
                  <c:v>50189.643160322259</c:v>
                </c:pt>
                <c:pt idx="28">
                  <c:v>50401.364346132774</c:v>
                </c:pt>
                <c:pt idx="29">
                  <c:v>50613.085531943281</c:v>
                </c:pt>
                <c:pt idx="30">
                  <c:v>50824.806717753789</c:v>
                </c:pt>
                <c:pt idx="31">
                  <c:v>51036.527903564296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9A-4F35-9488-068592A01A80}"/>
            </c:ext>
          </c:extLst>
        </c:ser>
        <c:ser>
          <c:idx val="8"/>
          <c:order val="8"/>
          <c:tx>
            <c:strRef>
              <c:f>t.liniowy!$J$1</c:f>
              <c:strCache>
                <c:ptCount val="1"/>
                <c:pt idx="0">
                  <c:v>Przyrost kwartalny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t.liniowy!$J$2:$J$33</c:f>
              <c:numCache>
                <c:formatCode>General</c:formatCode>
                <c:ptCount val="32"/>
                <c:pt idx="1">
                  <c:v>2818.3326981165446</c:v>
                </c:pt>
                <c:pt idx="2">
                  <c:v>3364.4015905171036</c:v>
                </c:pt>
                <c:pt idx="3">
                  <c:v>-2688.2938592014762</c:v>
                </c:pt>
                <c:pt idx="4">
                  <c:v>-2948.018170621508</c:v>
                </c:pt>
                <c:pt idx="5">
                  <c:v>3404.3319948578792</c:v>
                </c:pt>
                <c:pt idx="6">
                  <c:v>2792.7725277863137</c:v>
                </c:pt>
                <c:pt idx="7">
                  <c:v>-2307.9538131356021</c:v>
                </c:pt>
                <c:pt idx="8">
                  <c:v>-3515.1712588244263</c:v>
                </c:pt>
                <c:pt idx="9">
                  <c:v>4102.7018100095011</c:v>
                </c:pt>
                <c:pt idx="10">
                  <c:v>3193.2544592276245</c:v>
                </c:pt>
                <c:pt idx="11">
                  <c:v>-3378.4184581175505</c:v>
                </c:pt>
                <c:pt idx="12">
                  <c:v>-4931.4638304862747</c:v>
                </c:pt>
                <c:pt idx="13">
                  <c:v>-2309.2494899726153</c:v>
                </c:pt>
                <c:pt idx="14">
                  <c:v>5366.1045149034617</c:v>
                </c:pt>
                <c:pt idx="15">
                  <c:v>-1791.3321215763135</c:v>
                </c:pt>
                <c:pt idx="16">
                  <c:v>-1942.80852270381</c:v>
                </c:pt>
                <c:pt idx="17">
                  <c:v>3571.592095636297</c:v>
                </c:pt>
                <c:pt idx="18">
                  <c:v>5573.4128088260259</c:v>
                </c:pt>
                <c:pt idx="19">
                  <c:v>-3048.1386534818303</c:v>
                </c:pt>
                <c:pt idx="20">
                  <c:v>-3465.2288061976287</c:v>
                </c:pt>
                <c:pt idx="21">
                  <c:v>3932.9681443604059</c:v>
                </c:pt>
                <c:pt idx="22">
                  <c:v>4907.1993369930715</c:v>
                </c:pt>
                <c:pt idx="23">
                  <c:v>-3396.0867786223098</c:v>
                </c:pt>
                <c:pt idx="24">
                  <c:v>-4112.4782806888034</c:v>
                </c:pt>
                <c:pt idx="25">
                  <c:v>3779.8426999857766</c:v>
                </c:pt>
                <c:pt idx="26">
                  <c:v>4436.0441235327016</c:v>
                </c:pt>
                <c:pt idx="27">
                  <c:v>-2973.9317073618222</c:v>
                </c:pt>
                <c:pt idx="28">
                  <c:v>-4939.7090467218368</c:v>
                </c:pt>
                <c:pt idx="29">
                  <c:v>4615.789837467848</c:v>
                </c:pt>
                <c:pt idx="30">
                  <c:v>4366.666518350663</c:v>
                </c:pt>
                <c:pt idx="31">
                  <c:v>-2921.7512674710888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9A-4F35-9488-068592A01A80}"/>
            </c:ext>
          </c:extLst>
        </c:ser>
        <c:ser>
          <c:idx val="9"/>
          <c:order val="9"/>
          <c:tx>
            <c:strRef>
              <c:f>t.liniowy!$K$1</c:f>
              <c:strCache>
                <c:ptCount val="1"/>
                <c:pt idx="0">
                  <c:v>Wahania losowe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t.liniowy!$K$2:$K$33</c:f>
              <c:numCache>
                <c:formatCode>General</c:formatCode>
                <c:ptCount val="32"/>
                <c:pt idx="1">
                  <c:v>9.3445784002979053</c:v>
                </c:pt>
                <c:pt idx="2">
                  <c:v>-232.80956985110151</c:v>
                </c:pt>
                <c:pt idx="3">
                  <c:v>305.49507726098091</c:v>
                </c:pt>
                <c:pt idx="4">
                  <c:v>464.39217300048585</c:v>
                </c:pt>
                <c:pt idx="5">
                  <c:v>595.34387514163245</c:v>
                </c:pt>
                <c:pt idx="6">
                  <c:v>-804.4386325818914</c:v>
                </c:pt>
                <c:pt idx="7">
                  <c:v>685.83512332685495</c:v>
                </c:pt>
                <c:pt idx="8">
                  <c:v>-102.76091520243244</c:v>
                </c:pt>
                <c:pt idx="9">
                  <c:v>1293.7136902932543</c:v>
                </c:pt>
                <c:pt idx="10">
                  <c:v>-403.95670114058066</c:v>
                </c:pt>
                <c:pt idx="11">
                  <c:v>-384.62952165509341</c:v>
                </c:pt>
                <c:pt idx="12">
                  <c:v>-1519.0534868642808</c:v>
                </c:pt>
                <c:pt idx="13">
                  <c:v>-5118.237609688862</c:v>
                </c:pt>
                <c:pt idx="14">
                  <c:v>1768.8933545352565</c:v>
                </c:pt>
                <c:pt idx="15">
                  <c:v>1202.4568148861435</c:v>
                </c:pt>
                <c:pt idx="16">
                  <c:v>1469.6018209181839</c:v>
                </c:pt>
                <c:pt idx="17">
                  <c:v>762.60397592005029</c:v>
                </c:pt>
                <c:pt idx="18">
                  <c:v>1976.2016484578207</c:v>
                </c:pt>
                <c:pt idx="19">
                  <c:v>-54.349717019373202</c:v>
                </c:pt>
                <c:pt idx="20">
                  <c:v>-52.81846257563484</c:v>
                </c:pt>
                <c:pt idx="21">
                  <c:v>1123.9800246441591</c:v>
                </c:pt>
                <c:pt idx="22">
                  <c:v>1309.9881766248664</c:v>
                </c:pt>
                <c:pt idx="23">
                  <c:v>-402.29784215985273</c:v>
                </c:pt>
                <c:pt idx="24">
                  <c:v>-700.06793706680946</c:v>
                </c:pt>
                <c:pt idx="25">
                  <c:v>970.85458026952983</c:v>
                </c:pt>
                <c:pt idx="26">
                  <c:v>838.8329631644965</c:v>
                </c:pt>
                <c:pt idx="27">
                  <c:v>19.857229100634868</c:v>
                </c:pt>
                <c:pt idx="28">
                  <c:v>-1527.2987030998429</c:v>
                </c:pt>
                <c:pt idx="29">
                  <c:v>1806.8017177516012</c:v>
                </c:pt>
                <c:pt idx="30">
                  <c:v>769.45535798245783</c:v>
                </c:pt>
                <c:pt idx="31">
                  <c:v>72.037668991368264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69A-4F35-9488-068592A01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987295"/>
        <c:axId val="81898585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t.liniowy!$C$1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t.liniowy!$C$2:$C$33</c15:sqref>
                        </c15:formulaRef>
                      </c:ext>
                    </c:extLst>
                    <c:numCache>
                      <c:formatCode>#\ ##0.0</c:formatCode>
                      <c:ptCount val="3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69A-4F35-9488-068592A01A8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t.liniowy!$D$2:$D$33</c15:sqref>
                        </c15:formulaRef>
                      </c:ext>
                    </c:extLst>
                    <c:numCache>
                      <c:formatCode>#,##0</c:formatCode>
                      <c:ptCount val="3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69A-4F35-9488-068592A01A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t.liniowy!$E$2:$E$33</c15:sqref>
                        </c15:formulaRef>
                      </c:ext>
                    </c:extLst>
                    <c:numCache>
                      <c:formatCode>#,##0</c:formatCode>
                      <c:ptCount val="32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13</c:v>
                      </c:pt>
                      <c:pt idx="12">
                        <c:v>14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17</c:v>
                      </c:pt>
                      <c:pt idx="16">
                        <c:v>18</c:v>
                      </c:pt>
                      <c:pt idx="17">
                        <c:v>19</c:v>
                      </c:pt>
                      <c:pt idx="18">
                        <c:v>20</c:v>
                      </c:pt>
                      <c:pt idx="19">
                        <c:v>21</c:v>
                      </c:pt>
                      <c:pt idx="20">
                        <c:v>22</c:v>
                      </c:pt>
                      <c:pt idx="21">
                        <c:v>23</c:v>
                      </c:pt>
                      <c:pt idx="22">
                        <c:v>24</c:v>
                      </c:pt>
                      <c:pt idx="23">
                        <c:v>25</c:v>
                      </c:pt>
                      <c:pt idx="24">
                        <c:v>26</c:v>
                      </c:pt>
                      <c:pt idx="25">
                        <c:v>27</c:v>
                      </c:pt>
                      <c:pt idx="26">
                        <c:v>28</c:v>
                      </c:pt>
                      <c:pt idx="27">
                        <c:v>29</c:v>
                      </c:pt>
                      <c:pt idx="28">
                        <c:v>30</c:v>
                      </c:pt>
                      <c:pt idx="29">
                        <c:v>31</c:v>
                      </c:pt>
                      <c:pt idx="30">
                        <c:v>32</c:v>
                      </c:pt>
                      <c:pt idx="31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9A-4F35-9488-068592A01A8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t.liniowy!$G$1</c15:sqref>
                        </c15:formulaRef>
                      </c:ext>
                    </c:extLst>
                    <c:strCache>
                      <c:ptCount val="1"/>
                      <c:pt idx="0">
                        <c:v>gva-trend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t.liniowy!$G$2:$G$33</c15:sqref>
                        </c15:formulaRef>
                      </c:ext>
                    </c:extLst>
                    <c:numCache>
                      <c:formatCode>#\ ##0.0</c:formatCode>
                      <c:ptCount val="32"/>
                      <c:pt idx="0">
                        <c:v>-1525.959970885815</c:v>
                      </c:pt>
                      <c:pt idx="1">
                        <c:v>1080.6515414202149</c:v>
                      </c:pt>
                      <c:pt idx="2">
                        <c:v>4233.3319461268111</c:v>
                      </c:pt>
                      <c:pt idx="3">
                        <c:v>1333.3169011148275</c:v>
                      </c:pt>
                      <c:pt idx="4">
                        <c:v>-1826.4224553171953</c:v>
                      </c:pt>
                      <c:pt idx="5">
                        <c:v>1366.1883537301765</c:v>
                      </c:pt>
                      <c:pt idx="6">
                        <c:v>3947.2396957059827</c:v>
                      </c:pt>
                      <c:pt idx="7">
                        <c:v>1427.5646967598732</c:v>
                      </c:pt>
                      <c:pt idx="8">
                        <c:v>-2299.3277478750606</c:v>
                      </c:pt>
                      <c:pt idx="9">
                        <c:v>1591.6528763239257</c:v>
                      </c:pt>
                      <c:pt idx="10">
                        <c:v>4573.1861497410428</c:v>
                      </c:pt>
                      <c:pt idx="11">
                        <c:v>983.04650581298483</c:v>
                      </c:pt>
                      <c:pt idx="12">
                        <c:v>-4160.1385104838046</c:v>
                      </c:pt>
                      <c:pt idx="13">
                        <c:v>-6681.1091862669273</c:v>
                      </c:pt>
                      <c:pt idx="14">
                        <c:v>-1526.7258571739731</c:v>
                      </c:pt>
                      <c:pt idx="15">
                        <c:v>-3529.779164560794</c:v>
                      </c:pt>
                      <c:pt idx="16">
                        <c:v>-5684.3088730751115</c:v>
                      </c:pt>
                      <c:pt idx="17">
                        <c:v>-2324.4379632493292</c:v>
                      </c:pt>
                      <c:pt idx="18">
                        <c:v>3037.2536597661892</c:v>
                      </c:pt>
                      <c:pt idx="19">
                        <c:v>-222.60617952614848</c:v>
                      </c:pt>
                      <c:pt idx="20">
                        <c:v>-3899.5561715342919</c:v>
                      </c:pt>
                      <c:pt idx="21">
                        <c:v>-178.30921298439353</c:v>
                      </c:pt>
                      <c:pt idx="22">
                        <c:v>4517.1689381981705</c:v>
                      </c:pt>
                      <c:pt idx="23">
                        <c:v>909.36097376535326</c:v>
                      </c:pt>
                      <c:pt idx="24">
                        <c:v>-3414.8384927339575</c:v>
                      </c:pt>
                      <c:pt idx="25">
                        <c:v>153.2830214413043</c:v>
                      </c:pt>
                      <c:pt idx="26">
                        <c:v>4377.6059591634985</c:v>
                      </c:pt>
                      <c:pt idx="27">
                        <c:v>1191.9530659911688</c:v>
                      </c:pt>
                      <c:pt idx="28">
                        <c:v>-3959.4771665411827</c:v>
                      </c:pt>
                      <c:pt idx="29">
                        <c:v>444.59148511615786</c:v>
                      </c:pt>
                      <c:pt idx="30">
                        <c:v>4599.5368176563134</c:v>
                      </c:pt>
                      <c:pt idx="31">
                        <c:v>1466.0643643747171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9A-4F35-9488-068592A01A8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t.liniowy!$H$1</c15:sqref>
                        </c15:formulaRef>
                      </c:ext>
                    </c:extLst>
                    <c:strCache>
                      <c:ptCount val="1"/>
                      <c:pt idx="0">
                        <c:v>(gva-trend)^2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t.liniowy!$H$2:$H$33</c15:sqref>
                        </c15:formulaRef>
                      </c:ext>
                    </c:extLst>
                    <c:numCache>
                      <c:formatCode>#\ ##0.0</c:formatCode>
                      <c:ptCount val="32"/>
                      <c:pt idx="0">
                        <c:v>2328553.8327458375</c:v>
                      </c:pt>
                      <c:pt idx="1">
                        <c:v>1167807.7539738866</c:v>
                      </c:pt>
                      <c:pt idx="2">
                        <c:v>17921099.366097815</c:v>
                      </c:pt>
                      <c:pt idx="3">
                        <c:v>1777733.9587984467</c:v>
                      </c:pt>
                      <c:pt idx="4">
                        <c:v>3335818.9852868924</c:v>
                      </c:pt>
                      <c:pt idx="5">
                        <c:v>1866470.6178679697</c:v>
                      </c:pt>
                      <c:pt idx="6">
                        <c:v>15580701.21535706</c:v>
                      </c:pt>
                      <c:pt idx="7">
                        <c:v>2037940.9634351088</c:v>
                      </c:pt>
                      <c:pt idx="8">
                        <c:v>5286908.0921481978</c:v>
                      </c:pt>
                      <c:pt idx="9">
                        <c:v>2533358.8787102262</c:v>
                      </c:pt>
                      <c:pt idx="10">
                        <c:v>20914031.560183302</c:v>
                      </c:pt>
                      <c:pt idx="11">
                        <c:v>966380.43259111885</c:v>
                      </c:pt>
                      <c:pt idx="12">
                        <c:v>17306752.426410407</c:v>
                      </c:pt>
                      <c:pt idx="13">
                        <c:v>44637219.958820321</c:v>
                      </c:pt>
                      <c:pt idx="14">
                        <c:v>2330891.8429636029</c:v>
                      </c:pt>
                      <c:pt idx="15">
                        <c:v>12459340.950567497</c:v>
                      </c:pt>
                      <c:pt idx="16">
                        <c:v>32311367.364520445</c:v>
                      </c:pt>
                      <c:pt idx="17">
                        <c:v>5403011.8449946903</c:v>
                      </c:pt>
                      <c:pt idx="18">
                        <c:v>9224909.7937631104</c:v>
                      </c:pt>
                      <c:pt idx="19">
                        <c:v>49553.511163227849</c:v>
                      </c:pt>
                      <c:pt idx="20">
                        <c:v>15206538.334951185</c:v>
                      </c:pt>
                      <c:pt idx="21">
                        <c:v>31794.175435113812</c:v>
                      </c:pt>
                      <c:pt idx="22">
                        <c:v>20404815.216222387</c:v>
                      </c:pt>
                      <c:pt idx="23">
                        <c:v>826937.38060747145</c:v>
                      </c:pt>
                      <c:pt idx="24">
                        <c:v>11661121.931457527</c:v>
                      </c:pt>
                      <c:pt idx="25">
                        <c:v>23495.684662175354</c:v>
                      </c:pt>
                      <c:pt idx="26">
                        <c:v>19163433.933703773</c:v>
                      </c:pt>
                      <c:pt idx="27">
                        <c:v>1420752.1115257477</c:v>
                      </c:pt>
                      <c:pt idx="28">
                        <c:v>15677459.432360992</c:v>
                      </c:pt>
                      <c:pt idx="29">
                        <c:v>197661.58863779082</c:v>
                      </c:pt>
                      <c:pt idx="30">
                        <c:v>21155738.936975967</c:v>
                      </c:pt>
                      <c:pt idx="31">
                        <c:v>2149344.7204894433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69A-4F35-9488-068592A01A8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t.liniowy!$I$1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t.liniowy!$I$2:$I$33</c15:sqref>
                        </c15:formulaRef>
                      </c:ext>
                    </c:extLst>
                    <c:numCache>
                      <c:formatCode>#\ ##0.0</c:formatCode>
                      <c:ptCount val="3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69A-4F35-9488-068592A01A80}"/>
                  </c:ext>
                </c:extLst>
              </c15:ser>
            </c15:filteredLineSeries>
          </c:ext>
        </c:extLst>
      </c:lineChart>
      <c:catAx>
        <c:axId val="818987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8985855"/>
        <c:crosses val="autoZero"/>
        <c:auto val="1"/>
        <c:lblAlgn val="ctr"/>
        <c:lblOffset val="100"/>
        <c:noMultiLvlLbl val="0"/>
      </c:catAx>
      <c:valAx>
        <c:axId val="81898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898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t.potęgowy!$B$1</c:f>
              <c:strCache>
                <c:ptCount val="1"/>
                <c:pt idx="0">
                  <c:v>GVA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t.potęgowy!$B$2:$B$33</c:f>
              <c:numCache>
                <c:formatCode>#\ ##0.0</c:formatCode>
                <c:ptCount val="32"/>
                <c:pt idx="0">
                  <c:v>42947.211172552692</c:v>
                </c:pt>
                <c:pt idx="1">
                  <c:v>45765.543870669237</c:v>
                </c:pt>
                <c:pt idx="2">
                  <c:v>49129.94546118634</c:v>
                </c:pt>
                <c:pt idx="3">
                  <c:v>46441.651601984864</c:v>
                </c:pt>
                <c:pt idx="4">
                  <c:v>43493.633431363356</c:v>
                </c:pt>
                <c:pt idx="5">
                  <c:v>46897.965426221235</c:v>
                </c:pt>
                <c:pt idx="6">
                  <c:v>49690.737954007549</c:v>
                </c:pt>
                <c:pt idx="7">
                  <c:v>47382.784140871947</c:v>
                </c:pt>
                <c:pt idx="8">
                  <c:v>43867.612882047521</c:v>
                </c:pt>
                <c:pt idx="9">
                  <c:v>47970.314692057022</c:v>
                </c:pt>
                <c:pt idx="10">
                  <c:v>51163.569151284646</c:v>
                </c:pt>
                <c:pt idx="11">
                  <c:v>47785.150693167096</c:v>
                </c:pt>
                <c:pt idx="12">
                  <c:v>42853.686862680821</c:v>
                </c:pt>
                <c:pt idx="13">
                  <c:v>40544.437372708206</c:v>
                </c:pt>
                <c:pt idx="14">
                  <c:v>45910.541887611667</c:v>
                </c:pt>
                <c:pt idx="15">
                  <c:v>44119.209766035354</c:v>
                </c:pt>
                <c:pt idx="16">
                  <c:v>42176.401243331544</c:v>
                </c:pt>
                <c:pt idx="17">
                  <c:v>45747.993338967841</c:v>
                </c:pt>
                <c:pt idx="18">
                  <c:v>51321.406147793867</c:v>
                </c:pt>
                <c:pt idx="19">
                  <c:v>48273.267494312036</c:v>
                </c:pt>
                <c:pt idx="20">
                  <c:v>44808.038688114408</c:v>
                </c:pt>
                <c:pt idx="21">
                  <c:v>48741.006832474814</c:v>
                </c:pt>
                <c:pt idx="22">
                  <c:v>53648.206169467885</c:v>
                </c:pt>
                <c:pt idx="23">
                  <c:v>50252.119390845575</c:v>
                </c:pt>
                <c:pt idx="24">
                  <c:v>46139.641110156772</c:v>
                </c:pt>
                <c:pt idx="25">
                  <c:v>49919.483810142548</c:v>
                </c:pt>
                <c:pt idx="26">
                  <c:v>54355.52793367525</c:v>
                </c:pt>
                <c:pt idx="27">
                  <c:v>51381.596226313428</c:v>
                </c:pt>
                <c:pt idx="28">
                  <c:v>46441.887179591591</c:v>
                </c:pt>
                <c:pt idx="29">
                  <c:v>51057.677017059439</c:v>
                </c:pt>
                <c:pt idx="30">
                  <c:v>55424.343535410102</c:v>
                </c:pt>
                <c:pt idx="31">
                  <c:v>52502.592267939013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6C-48A9-8A45-AF3BF1093B8E}"/>
            </c:ext>
          </c:extLst>
        </c:ser>
        <c:ser>
          <c:idx val="4"/>
          <c:order val="4"/>
          <c:tx>
            <c:strRef>
              <c:f>t.potęgowy!$F$1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t.potęgowy!$F$2:$F$33</c:f>
              <c:numCache>
                <c:formatCode>#\ ##0.0</c:formatCode>
                <c:ptCount val="32"/>
                <c:pt idx="0">
                  <c:v>43490.362890018034</c:v>
                </c:pt>
                <c:pt idx="1">
                  <c:v>44311.135808514045</c:v>
                </c:pt>
                <c:pt idx="2">
                  <c:v>44902.860479408315</c:v>
                </c:pt>
                <c:pt idx="3">
                  <c:v>45367.273995987016</c:v>
                </c:pt>
                <c:pt idx="4">
                  <c:v>45750.29079259529</c:v>
                </c:pt>
                <c:pt idx="5">
                  <c:v>46076.648578466316</c:v>
                </c:pt>
                <c:pt idx="6">
                  <c:v>46361.233736589158</c:v>
                </c:pt>
                <c:pt idx="7">
                  <c:v>46613.714254727369</c:v>
                </c:pt>
                <c:pt idx="8">
                  <c:v>46840.730663124828</c:v>
                </c:pt>
                <c:pt idx="9">
                  <c:v>47047.044278471818</c:v>
                </c:pt>
                <c:pt idx="10">
                  <c:v>47236.187234109624</c:v>
                </c:pt>
                <c:pt idx="11">
                  <c:v>47410.853312763858</c:v>
                </c:pt>
                <c:pt idx="12">
                  <c:v>47573.144600098836</c:v>
                </c:pt>
                <c:pt idx="13">
                  <c:v>47724.733477911243</c:v>
                </c:pt>
                <c:pt idx="14">
                  <c:v>47866.972630046897</c:v>
                </c:pt>
                <c:pt idx="15">
                  <c:v>48000.971898817697</c:v>
                </c:pt>
                <c:pt idx="16">
                  <c:v>48127.653312532784</c:v>
                </c:pt>
                <c:pt idx="17">
                  <c:v>48247.791333281733</c:v>
                </c:pt>
                <c:pt idx="18">
                  <c:v>48362.042851626451</c:v>
                </c:pt>
                <c:pt idx="19">
                  <c:v>48470.969914507019</c:v>
                </c:pt>
                <c:pt idx="20">
                  <c:v>48575.057203986667</c:v>
                </c:pt>
                <c:pt idx="21">
                  <c:v>48674.725659223041</c:v>
                </c:pt>
                <c:pt idx="22">
                  <c:v>48770.343221009469</c:v>
                </c:pt>
                <c:pt idx="23">
                  <c:v>48862.233399619567</c:v>
                </c:pt>
                <c:pt idx="24">
                  <c:v>48950.682175184913</c:v>
                </c:pt>
                <c:pt idx="25">
                  <c:v>49035.94360593841</c:v>
                </c:pt>
                <c:pt idx="26">
                  <c:v>49118.244424565426</c:v>
                </c:pt>
                <c:pt idx="27">
                  <c:v>49197.787834404153</c:v>
                </c:pt>
                <c:pt idx="28">
                  <c:v>49274.756667239824</c:v>
                </c:pt>
                <c:pt idx="29">
                  <c:v>49349.316027500303</c:v>
                </c:pt>
                <c:pt idx="30">
                  <c:v>49421.615520066793</c:v>
                </c:pt>
                <c:pt idx="31">
                  <c:v>49491.791138082626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6C-48A9-8A45-AF3BF1093B8E}"/>
            </c:ext>
          </c:extLst>
        </c:ser>
        <c:ser>
          <c:idx val="8"/>
          <c:order val="8"/>
          <c:tx>
            <c:strRef>
              <c:f>t.potęgowy!$J$1</c:f>
              <c:strCache>
                <c:ptCount val="1"/>
                <c:pt idx="0">
                  <c:v>Przyrost kwartalny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t.potęgowy!$J$2:$J$33</c:f>
              <c:numCache>
                <c:formatCode>General</c:formatCode>
                <c:ptCount val="32"/>
                <c:pt idx="1">
                  <c:v>2818.3326981165446</c:v>
                </c:pt>
                <c:pt idx="2">
                  <c:v>3364.4015905171036</c:v>
                </c:pt>
                <c:pt idx="3">
                  <c:v>-2688.2938592014762</c:v>
                </c:pt>
                <c:pt idx="4">
                  <c:v>-2948.018170621508</c:v>
                </c:pt>
                <c:pt idx="5">
                  <c:v>3404.3319948578792</c:v>
                </c:pt>
                <c:pt idx="6">
                  <c:v>2792.7725277863137</c:v>
                </c:pt>
                <c:pt idx="7">
                  <c:v>-2307.9538131356021</c:v>
                </c:pt>
                <c:pt idx="8">
                  <c:v>-3515.1712588244263</c:v>
                </c:pt>
                <c:pt idx="9">
                  <c:v>4102.7018100095011</c:v>
                </c:pt>
                <c:pt idx="10">
                  <c:v>3193.2544592276245</c:v>
                </c:pt>
                <c:pt idx="11">
                  <c:v>-3378.4184581175505</c:v>
                </c:pt>
                <c:pt idx="12">
                  <c:v>-4931.4638304862747</c:v>
                </c:pt>
                <c:pt idx="13">
                  <c:v>-2309.2494899726153</c:v>
                </c:pt>
                <c:pt idx="14">
                  <c:v>5366.1045149034617</c:v>
                </c:pt>
                <c:pt idx="15">
                  <c:v>-1791.3321215763135</c:v>
                </c:pt>
                <c:pt idx="16">
                  <c:v>-1942.80852270381</c:v>
                </c:pt>
                <c:pt idx="17">
                  <c:v>3571.592095636297</c:v>
                </c:pt>
                <c:pt idx="18">
                  <c:v>5573.4128088260259</c:v>
                </c:pt>
                <c:pt idx="19">
                  <c:v>-3048.1386534818303</c:v>
                </c:pt>
                <c:pt idx="20">
                  <c:v>-3465.2288061976287</c:v>
                </c:pt>
                <c:pt idx="21">
                  <c:v>3932.9681443604059</c:v>
                </c:pt>
                <c:pt idx="22">
                  <c:v>4907.1993369930715</c:v>
                </c:pt>
                <c:pt idx="23">
                  <c:v>-3396.0867786223098</c:v>
                </c:pt>
                <c:pt idx="24">
                  <c:v>-4112.4782806888034</c:v>
                </c:pt>
                <c:pt idx="25">
                  <c:v>3779.8426999857766</c:v>
                </c:pt>
                <c:pt idx="26">
                  <c:v>4436.0441235327016</c:v>
                </c:pt>
                <c:pt idx="27">
                  <c:v>-2973.9317073618222</c:v>
                </c:pt>
                <c:pt idx="28">
                  <c:v>-4939.7090467218368</c:v>
                </c:pt>
                <c:pt idx="29">
                  <c:v>4615.789837467848</c:v>
                </c:pt>
                <c:pt idx="30">
                  <c:v>4366.666518350663</c:v>
                </c:pt>
                <c:pt idx="31">
                  <c:v>-2921.7512674710888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6C-48A9-8A45-AF3BF1093B8E}"/>
            </c:ext>
          </c:extLst>
        </c:ser>
        <c:ser>
          <c:idx val="9"/>
          <c:order val="9"/>
          <c:tx>
            <c:strRef>
              <c:f>t.potęgowy!$K$1</c:f>
              <c:strCache>
                <c:ptCount val="1"/>
                <c:pt idx="0">
                  <c:v>Wahania losowe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t.potęgowy!$K$2:$K$33</c:f>
              <c:numCache>
                <c:formatCode>General</c:formatCode>
                <c:ptCount val="32"/>
                <c:pt idx="1">
                  <c:v>9.3445784002979053</c:v>
                </c:pt>
                <c:pt idx="2">
                  <c:v>-232.80956985110151</c:v>
                </c:pt>
                <c:pt idx="3">
                  <c:v>305.49507726098091</c:v>
                </c:pt>
                <c:pt idx="4">
                  <c:v>464.39217300048585</c:v>
                </c:pt>
                <c:pt idx="5">
                  <c:v>595.34387514163245</c:v>
                </c:pt>
                <c:pt idx="6">
                  <c:v>-804.4386325818914</c:v>
                </c:pt>
                <c:pt idx="7">
                  <c:v>685.83512332685495</c:v>
                </c:pt>
                <c:pt idx="8">
                  <c:v>-102.76091520243244</c:v>
                </c:pt>
                <c:pt idx="9">
                  <c:v>1293.7136902932543</c:v>
                </c:pt>
                <c:pt idx="10">
                  <c:v>-403.95670114058066</c:v>
                </c:pt>
                <c:pt idx="11">
                  <c:v>-384.62952165509341</c:v>
                </c:pt>
                <c:pt idx="12">
                  <c:v>-1519.0534868642808</c:v>
                </c:pt>
                <c:pt idx="13">
                  <c:v>-5118.237609688862</c:v>
                </c:pt>
                <c:pt idx="14">
                  <c:v>1768.8933545352565</c:v>
                </c:pt>
                <c:pt idx="15">
                  <c:v>1202.4568148861435</c:v>
                </c:pt>
                <c:pt idx="16">
                  <c:v>1469.6018209181839</c:v>
                </c:pt>
                <c:pt idx="17">
                  <c:v>762.60397592005029</c:v>
                </c:pt>
                <c:pt idx="18">
                  <c:v>1976.2016484578207</c:v>
                </c:pt>
                <c:pt idx="19">
                  <c:v>-54.349717019373202</c:v>
                </c:pt>
                <c:pt idx="20">
                  <c:v>-52.81846257563484</c:v>
                </c:pt>
                <c:pt idx="21">
                  <c:v>1123.9800246441591</c:v>
                </c:pt>
                <c:pt idx="22">
                  <c:v>1309.9881766248664</c:v>
                </c:pt>
                <c:pt idx="23">
                  <c:v>-402.29784215985273</c:v>
                </c:pt>
                <c:pt idx="24">
                  <c:v>-700.06793706680946</c:v>
                </c:pt>
                <c:pt idx="25">
                  <c:v>970.85458026952983</c:v>
                </c:pt>
                <c:pt idx="26">
                  <c:v>838.8329631644965</c:v>
                </c:pt>
                <c:pt idx="27">
                  <c:v>19.857229100634868</c:v>
                </c:pt>
                <c:pt idx="28">
                  <c:v>-1527.2987030998429</c:v>
                </c:pt>
                <c:pt idx="29">
                  <c:v>1806.8017177516012</c:v>
                </c:pt>
                <c:pt idx="30">
                  <c:v>769.45535798245783</c:v>
                </c:pt>
                <c:pt idx="31">
                  <c:v>72.037668991368264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D6C-48A9-8A45-AF3BF1093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606143"/>
        <c:axId val="82162934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t.potęgowy!$C$1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t.potęgowy!$C$2:$C$33</c15:sqref>
                        </c15:formulaRef>
                      </c:ext>
                    </c:extLst>
                    <c:numCache>
                      <c:formatCode>#\ ##0.0</c:formatCode>
                      <c:ptCount val="3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D6C-48A9-8A45-AF3BF1093B8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t.potęgowy!$D$1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t.potęgowy!$D$2:$D$33</c15:sqref>
                        </c15:formulaRef>
                      </c:ext>
                    </c:extLst>
                    <c:numCache>
                      <c:formatCode>#,##0</c:formatCode>
                      <c:ptCount val="3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D6C-48A9-8A45-AF3BF1093B8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t.potęgowy!$E$1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t.potęgowy!$E$2:$E$33</c15:sqref>
                        </c15:formulaRef>
                      </c:ext>
                    </c:extLst>
                    <c:numCache>
                      <c:formatCode>#,##0</c:formatCode>
                      <c:ptCount val="32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13</c:v>
                      </c:pt>
                      <c:pt idx="12">
                        <c:v>14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17</c:v>
                      </c:pt>
                      <c:pt idx="16">
                        <c:v>18</c:v>
                      </c:pt>
                      <c:pt idx="17">
                        <c:v>19</c:v>
                      </c:pt>
                      <c:pt idx="18">
                        <c:v>20</c:v>
                      </c:pt>
                      <c:pt idx="19">
                        <c:v>21</c:v>
                      </c:pt>
                      <c:pt idx="20">
                        <c:v>22</c:v>
                      </c:pt>
                      <c:pt idx="21">
                        <c:v>23</c:v>
                      </c:pt>
                      <c:pt idx="22">
                        <c:v>24</c:v>
                      </c:pt>
                      <c:pt idx="23">
                        <c:v>25</c:v>
                      </c:pt>
                      <c:pt idx="24">
                        <c:v>26</c:v>
                      </c:pt>
                      <c:pt idx="25">
                        <c:v>27</c:v>
                      </c:pt>
                      <c:pt idx="26">
                        <c:v>28</c:v>
                      </c:pt>
                      <c:pt idx="27">
                        <c:v>29</c:v>
                      </c:pt>
                      <c:pt idx="28">
                        <c:v>30</c:v>
                      </c:pt>
                      <c:pt idx="29">
                        <c:v>31</c:v>
                      </c:pt>
                      <c:pt idx="30">
                        <c:v>32</c:v>
                      </c:pt>
                      <c:pt idx="31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D6C-48A9-8A45-AF3BF1093B8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t.potęgowy!$G$1</c15:sqref>
                        </c15:formulaRef>
                      </c:ext>
                    </c:extLst>
                    <c:strCache>
                      <c:ptCount val="1"/>
                      <c:pt idx="0">
                        <c:v>gva-trend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t.potęgowy!$G$2:$G$33</c15:sqref>
                        </c15:formulaRef>
                      </c:ext>
                    </c:extLst>
                    <c:numCache>
                      <c:formatCode>#\ ##0.0</c:formatCode>
                      <c:ptCount val="32"/>
                      <c:pt idx="0">
                        <c:v>-543.15171746534179</c:v>
                      </c:pt>
                      <c:pt idx="1">
                        <c:v>1454.4080621551911</c:v>
                      </c:pt>
                      <c:pt idx="2">
                        <c:v>4227.0849817780254</c:v>
                      </c:pt>
                      <c:pt idx="3">
                        <c:v>1074.3776059978481</c:v>
                      </c:pt>
                      <c:pt idx="4">
                        <c:v>-2256.6573612319335</c:v>
                      </c:pt>
                      <c:pt idx="5">
                        <c:v>821.31684775491885</c:v>
                      </c:pt>
                      <c:pt idx="6">
                        <c:v>3329.5042174183909</c:v>
                      </c:pt>
                      <c:pt idx="7">
                        <c:v>769.06988614457805</c:v>
                      </c:pt>
                      <c:pt idx="8">
                        <c:v>-2973.1177810773079</c:v>
                      </c:pt>
                      <c:pt idx="9">
                        <c:v>923.27041358520364</c:v>
                      </c:pt>
                      <c:pt idx="10">
                        <c:v>3927.381917175022</c:v>
                      </c:pt>
                      <c:pt idx="11">
                        <c:v>374.29738040323718</c:v>
                      </c:pt>
                      <c:pt idx="12">
                        <c:v>-4719.4577374180153</c:v>
                      </c:pt>
                      <c:pt idx="13">
                        <c:v>-7180.2961052030369</c:v>
                      </c:pt>
                      <c:pt idx="14">
                        <c:v>-1956.4307424352301</c:v>
                      </c:pt>
                      <c:pt idx="15">
                        <c:v>-3881.7621327823435</c:v>
                      </c:pt>
                      <c:pt idx="16">
                        <c:v>-5951.2520692012404</c:v>
                      </c:pt>
                      <c:pt idx="17">
                        <c:v>-2499.7979943138926</c:v>
                      </c:pt>
                      <c:pt idx="18">
                        <c:v>2959.3632961674157</c:v>
                      </c:pt>
                      <c:pt idx="19">
                        <c:v>-197.70242019498255</c:v>
                      </c:pt>
                      <c:pt idx="20">
                        <c:v>-3767.0185158722597</c:v>
                      </c:pt>
                      <c:pt idx="21">
                        <c:v>66.281173251772998</c:v>
                      </c:pt>
                      <c:pt idx="22">
                        <c:v>4877.8629484584162</c:v>
                      </c:pt>
                      <c:pt idx="23">
                        <c:v>1389.8859912260086</c:v>
                      </c:pt>
                      <c:pt idx="24">
                        <c:v>-2811.041065028141</c:v>
                      </c:pt>
                      <c:pt idx="25">
                        <c:v>883.54020420413872</c:v>
                      </c:pt>
                      <c:pt idx="26">
                        <c:v>5237.2835091098241</c:v>
                      </c:pt>
                      <c:pt idx="27">
                        <c:v>2183.8083919092751</c:v>
                      </c:pt>
                      <c:pt idx="28">
                        <c:v>-2832.8694876482332</c:v>
                      </c:pt>
                      <c:pt idx="29">
                        <c:v>1708.3609895591362</c:v>
                      </c:pt>
                      <c:pt idx="30">
                        <c:v>6002.7280153433094</c:v>
                      </c:pt>
                      <c:pt idx="31">
                        <c:v>3010.801129856387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6C-48A9-8A45-AF3BF1093B8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t.potęgowy!$H$1</c15:sqref>
                        </c15:formulaRef>
                      </c:ext>
                    </c:extLst>
                    <c:strCache>
                      <c:ptCount val="1"/>
                      <c:pt idx="0">
                        <c:v>(gva-trend)^2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t.potęgowy!$H$2:$H$33</c15:sqref>
                        </c15:formulaRef>
                      </c:ext>
                    </c:extLst>
                    <c:numCache>
                      <c:formatCode>#\ ##0.0</c:formatCode>
                      <c:ptCount val="32"/>
                      <c:pt idx="0">
                        <c:v>295013.78818555048</c:v>
                      </c:pt>
                      <c:pt idx="1">
                        <c:v>2115302.8112620185</c:v>
                      </c:pt>
                      <c:pt idx="2">
                        <c:v>17868247.44317333</c:v>
                      </c:pt>
                      <c:pt idx="3">
                        <c:v>1154287.2402696675</c:v>
                      </c:pt>
                      <c:pt idx="4">
                        <c:v>5092502.4460022729</c:v>
                      </c:pt>
                      <c:pt idx="5">
                        <c:v>674561.36440607661</c:v>
                      </c:pt>
                      <c:pt idx="6">
                        <c:v>11085598.333806852</c:v>
                      </c:pt>
                      <c:pt idx="7">
                        <c:v>591468.48977443425</c:v>
                      </c:pt>
                      <c:pt idx="8">
                        <c:v>8839429.3401580546</c:v>
                      </c:pt>
                      <c:pt idx="9">
                        <c:v>852428.25660179299</c:v>
                      </c:pt>
                      <c:pt idx="10">
                        <c:v>15424328.723353351</c:v>
                      </c:pt>
                      <c:pt idx="11">
                        <c:v>140098.52897672565</c:v>
                      </c:pt>
                      <c:pt idx="12">
                        <c:v>22273281.335274771</c:v>
                      </c:pt>
                      <c:pt idx="13">
                        <c:v>51556652.158393897</c:v>
                      </c:pt>
                      <c:pt idx="14">
                        <c:v>3827621.2499456657</c:v>
                      </c:pt>
                      <c:pt idx="15">
                        <c:v>15068077.255502928</c:v>
                      </c:pt>
                      <c:pt idx="16">
                        <c:v>35417401.191172048</c:v>
                      </c:pt>
                      <c:pt idx="17">
                        <c:v>6248990.0123757599</c:v>
                      </c:pt>
                      <c:pt idx="18">
                        <c:v>8757831.1187028717</c:v>
                      </c:pt>
                      <c:pt idx="19">
                        <c:v>39086.246950953442</c:v>
                      </c:pt>
                      <c:pt idx="20">
                        <c:v>14190428.498924442</c:v>
                      </c:pt>
                      <c:pt idx="21">
                        <c:v>4393.1939276315479</c:v>
                      </c:pt>
                      <c:pt idx="22">
                        <c:v>23793546.943943433</c:v>
                      </c:pt>
                      <c:pt idx="23">
                        <c:v>1931783.0686063045</c:v>
                      </c:pt>
                      <c:pt idx="24">
                        <c:v>7901951.8692745455</c:v>
                      </c:pt>
                      <c:pt idx="25">
                        <c:v>780643.29244509118</c:v>
                      </c:pt>
                      <c:pt idx="26">
                        <c:v>27429138.554793712</c:v>
                      </c:pt>
                      <c:pt idx="27">
                        <c:v>4769019.0925733736</c:v>
                      </c:pt>
                      <c:pt idx="28">
                        <c:v>8025149.5340483636</c:v>
                      </c:pt>
                      <c:pt idx="29">
                        <c:v>2918497.2706474713</c:v>
                      </c:pt>
                      <c:pt idx="30">
                        <c:v>36032743.626187429</c:v>
                      </c:pt>
                      <c:pt idx="31">
                        <c:v>9064923.4435444959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6C-48A9-8A45-AF3BF1093B8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t.potęgowy!$I$1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t.potęgowy!$I$2:$I$33</c15:sqref>
                        </c15:formulaRef>
                      </c:ext>
                    </c:extLst>
                    <c:numCache>
                      <c:formatCode>#\ ##0.0</c:formatCode>
                      <c:ptCount val="3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6C-48A9-8A45-AF3BF1093B8E}"/>
                  </c:ext>
                </c:extLst>
              </c15:ser>
            </c15:filteredLineSeries>
          </c:ext>
        </c:extLst>
      </c:lineChart>
      <c:catAx>
        <c:axId val="1353606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1629343"/>
        <c:crosses val="autoZero"/>
        <c:auto val="1"/>
        <c:lblAlgn val="ctr"/>
        <c:lblOffset val="100"/>
        <c:noMultiLvlLbl val="0"/>
      </c:catAx>
      <c:valAx>
        <c:axId val="82162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360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t.wykładniczy!$B$1</c:f>
              <c:strCache>
                <c:ptCount val="1"/>
                <c:pt idx="0">
                  <c:v>GVA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t.wykładniczy!$B$2:$B$33</c:f>
              <c:numCache>
                <c:formatCode>#\ ##0.0</c:formatCode>
                <c:ptCount val="32"/>
                <c:pt idx="0">
                  <c:v>42947.211172552692</c:v>
                </c:pt>
                <c:pt idx="1">
                  <c:v>45765.543870669237</c:v>
                </c:pt>
                <c:pt idx="2">
                  <c:v>49129.94546118634</c:v>
                </c:pt>
                <c:pt idx="3">
                  <c:v>46441.651601984864</c:v>
                </c:pt>
                <c:pt idx="4">
                  <c:v>43493.633431363356</c:v>
                </c:pt>
                <c:pt idx="5">
                  <c:v>46897.965426221235</c:v>
                </c:pt>
                <c:pt idx="6">
                  <c:v>49690.737954007549</c:v>
                </c:pt>
                <c:pt idx="7">
                  <c:v>47382.784140871947</c:v>
                </c:pt>
                <c:pt idx="8">
                  <c:v>43867.612882047521</c:v>
                </c:pt>
                <c:pt idx="9">
                  <c:v>47970.314692057022</c:v>
                </c:pt>
                <c:pt idx="10">
                  <c:v>51163.569151284646</c:v>
                </c:pt>
                <c:pt idx="11">
                  <c:v>47785.150693167096</c:v>
                </c:pt>
                <c:pt idx="12">
                  <c:v>42853.686862680821</c:v>
                </c:pt>
                <c:pt idx="13">
                  <c:v>40544.437372708206</c:v>
                </c:pt>
                <c:pt idx="14">
                  <c:v>45910.541887611667</c:v>
                </c:pt>
                <c:pt idx="15">
                  <c:v>44119.209766035354</c:v>
                </c:pt>
                <c:pt idx="16">
                  <c:v>42176.401243331544</c:v>
                </c:pt>
                <c:pt idx="17">
                  <c:v>45747.993338967841</c:v>
                </c:pt>
                <c:pt idx="18">
                  <c:v>51321.406147793867</c:v>
                </c:pt>
                <c:pt idx="19">
                  <c:v>48273.267494312036</c:v>
                </c:pt>
                <c:pt idx="20">
                  <c:v>44808.038688114408</c:v>
                </c:pt>
                <c:pt idx="21">
                  <c:v>48741.006832474814</c:v>
                </c:pt>
                <c:pt idx="22">
                  <c:v>53648.206169467885</c:v>
                </c:pt>
                <c:pt idx="23">
                  <c:v>50252.119390845575</c:v>
                </c:pt>
                <c:pt idx="24">
                  <c:v>46139.641110156772</c:v>
                </c:pt>
                <c:pt idx="25">
                  <c:v>49919.483810142548</c:v>
                </c:pt>
                <c:pt idx="26">
                  <c:v>54355.52793367525</c:v>
                </c:pt>
                <c:pt idx="27">
                  <c:v>51381.596226313428</c:v>
                </c:pt>
                <c:pt idx="28">
                  <c:v>46441.887179591591</c:v>
                </c:pt>
                <c:pt idx="29">
                  <c:v>51057.677017059439</c:v>
                </c:pt>
                <c:pt idx="30">
                  <c:v>55424.343535410102</c:v>
                </c:pt>
                <c:pt idx="31">
                  <c:v>52502.592267939013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001-A31A-88E9D2E5B96D}"/>
            </c:ext>
          </c:extLst>
        </c:ser>
        <c:ser>
          <c:idx val="4"/>
          <c:order val="4"/>
          <c:tx>
            <c:strRef>
              <c:f>t.wykładniczy!$F$1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t.wykładniczy!$F$2:$F$33</c:f>
              <c:numCache>
                <c:formatCode>#\ ##0.0</c:formatCode>
                <c:ptCount val="32"/>
                <c:pt idx="0">
                  <c:v>44511.250000810534</c:v>
                </c:pt>
                <c:pt idx="1">
                  <c:v>44705.216985048726</c:v>
                </c:pt>
                <c:pt idx="2">
                  <c:v>44900.029220565586</c:v>
                </c:pt>
                <c:pt idx="3">
                  <c:v>45095.69039071833</c:v>
                </c:pt>
                <c:pt idx="4">
                  <c:v>45292.204194915503</c:v>
                </c:pt>
                <c:pt idx="5">
                  <c:v>45489.574348686256</c:v>
                </c:pt>
                <c:pt idx="6">
                  <c:v>45687.804583751247</c:v>
                </c:pt>
                <c:pt idx="7">
                  <c:v>45886.898648092574</c:v>
                </c:pt>
                <c:pt idx="8">
                  <c:v>46086.86030602517</c:v>
                </c:pt>
                <c:pt idx="9">
                  <c:v>46287.693338267753</c:v>
                </c:pt>
                <c:pt idx="10">
                  <c:v>46489.401542014057</c:v>
                </c:pt>
                <c:pt idx="11">
                  <c:v>46691.988731005207</c:v>
                </c:pt>
                <c:pt idx="12">
                  <c:v>46895.458735601169</c:v>
                </c:pt>
                <c:pt idx="13">
                  <c:v>47099.815402853819</c:v>
                </c:pt>
                <c:pt idx="14">
                  <c:v>47305.062596579017</c:v>
                </c:pt>
                <c:pt idx="15">
                  <c:v>47511.204197430357</c:v>
                </c:pt>
                <c:pt idx="16">
                  <c:v>47718.244102971832</c:v>
                </c:pt>
                <c:pt idx="17">
                  <c:v>47926.186227752129</c:v>
                </c:pt>
                <c:pt idx="18">
                  <c:v>48135.034503378396</c:v>
                </c:pt>
                <c:pt idx="19">
                  <c:v>48344.79287859032</c:v>
                </c:pt>
                <c:pt idx="20">
                  <c:v>48555.465319335373</c:v>
                </c:pt>
                <c:pt idx="21">
                  <c:v>48767.055808843135</c:v>
                </c:pt>
                <c:pt idx="22">
                  <c:v>48979.568347701257</c:v>
                </c:pt>
                <c:pt idx="23">
                  <c:v>49193.006953930453</c:v>
                </c:pt>
                <c:pt idx="24">
                  <c:v>49407.375663061124</c:v>
                </c:pt>
                <c:pt idx="25">
                  <c:v>49622.678528208991</c:v>
                </c:pt>
                <c:pt idx="26">
                  <c:v>49838.91962015233</c:v>
                </c:pt>
                <c:pt idx="27">
                  <c:v>50056.103027408673</c:v>
                </c:pt>
                <c:pt idx="28">
                  <c:v>50274.232856311835</c:v>
                </c:pt>
                <c:pt idx="29">
                  <c:v>50493.313231090215</c:v>
                </c:pt>
                <c:pt idx="30">
                  <c:v>50713.348293944007</c:v>
                </c:pt>
                <c:pt idx="31">
                  <c:v>50934.342205124267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F5-4001-A31A-88E9D2E5B96D}"/>
            </c:ext>
          </c:extLst>
        </c:ser>
        <c:ser>
          <c:idx val="8"/>
          <c:order val="8"/>
          <c:tx>
            <c:strRef>
              <c:f>t.wykładniczy!$J$1</c:f>
              <c:strCache>
                <c:ptCount val="1"/>
                <c:pt idx="0">
                  <c:v>Przyrost kwartalny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t.wykładniczy!$J$2:$J$33</c:f>
              <c:numCache>
                <c:formatCode>General</c:formatCode>
                <c:ptCount val="32"/>
                <c:pt idx="1">
                  <c:v>2818.3326981165446</c:v>
                </c:pt>
                <c:pt idx="2">
                  <c:v>3364.4015905171036</c:v>
                </c:pt>
                <c:pt idx="3">
                  <c:v>-2688.2938592014762</c:v>
                </c:pt>
                <c:pt idx="4">
                  <c:v>-2948.018170621508</c:v>
                </c:pt>
                <c:pt idx="5">
                  <c:v>3404.3319948578792</c:v>
                </c:pt>
                <c:pt idx="6">
                  <c:v>2792.7725277863137</c:v>
                </c:pt>
                <c:pt idx="7">
                  <c:v>-2307.9538131356021</c:v>
                </c:pt>
                <c:pt idx="8">
                  <c:v>-3515.1712588244263</c:v>
                </c:pt>
                <c:pt idx="9">
                  <c:v>4102.7018100095011</c:v>
                </c:pt>
                <c:pt idx="10">
                  <c:v>3193.2544592276245</c:v>
                </c:pt>
                <c:pt idx="11">
                  <c:v>-3378.4184581175505</c:v>
                </c:pt>
                <c:pt idx="12">
                  <c:v>-4931.4638304862747</c:v>
                </c:pt>
                <c:pt idx="13">
                  <c:v>-2309.2494899726153</c:v>
                </c:pt>
                <c:pt idx="14">
                  <c:v>5366.1045149034617</c:v>
                </c:pt>
                <c:pt idx="15">
                  <c:v>-1791.3321215763135</c:v>
                </c:pt>
                <c:pt idx="16">
                  <c:v>-1942.80852270381</c:v>
                </c:pt>
                <c:pt idx="17">
                  <c:v>3571.592095636297</c:v>
                </c:pt>
                <c:pt idx="18">
                  <c:v>5573.4128088260259</c:v>
                </c:pt>
                <c:pt idx="19">
                  <c:v>-3048.1386534818303</c:v>
                </c:pt>
                <c:pt idx="20">
                  <c:v>-3465.2288061976287</c:v>
                </c:pt>
                <c:pt idx="21">
                  <c:v>3932.9681443604059</c:v>
                </c:pt>
                <c:pt idx="22">
                  <c:v>4907.1993369930715</c:v>
                </c:pt>
                <c:pt idx="23">
                  <c:v>-3396.0867786223098</c:v>
                </c:pt>
                <c:pt idx="24">
                  <c:v>-4112.4782806888034</c:v>
                </c:pt>
                <c:pt idx="25">
                  <c:v>3779.8426999857766</c:v>
                </c:pt>
                <c:pt idx="26">
                  <c:v>4436.0441235327016</c:v>
                </c:pt>
                <c:pt idx="27">
                  <c:v>-2973.9317073618222</c:v>
                </c:pt>
                <c:pt idx="28">
                  <c:v>-4939.7090467218368</c:v>
                </c:pt>
                <c:pt idx="29">
                  <c:v>4615.789837467848</c:v>
                </c:pt>
                <c:pt idx="30">
                  <c:v>4366.666518350663</c:v>
                </c:pt>
                <c:pt idx="31">
                  <c:v>-2921.7512674710888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F5-4001-A31A-88E9D2E5B96D}"/>
            </c:ext>
          </c:extLst>
        </c:ser>
        <c:ser>
          <c:idx val="9"/>
          <c:order val="9"/>
          <c:tx>
            <c:strRef>
              <c:f>t.wykładniczy!$K$1</c:f>
              <c:strCache>
                <c:ptCount val="1"/>
                <c:pt idx="0">
                  <c:v>Wahania losowe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t.wykładniczy!$K$2:$K$33</c:f>
              <c:numCache>
                <c:formatCode>General</c:formatCode>
                <c:ptCount val="32"/>
                <c:pt idx="1">
                  <c:v>9.3445784002979053</c:v>
                </c:pt>
                <c:pt idx="2">
                  <c:v>-232.80956985110151</c:v>
                </c:pt>
                <c:pt idx="3">
                  <c:v>305.49507726098091</c:v>
                </c:pt>
                <c:pt idx="4">
                  <c:v>464.39217300048585</c:v>
                </c:pt>
                <c:pt idx="5">
                  <c:v>595.34387514163245</c:v>
                </c:pt>
                <c:pt idx="6">
                  <c:v>-804.4386325818914</c:v>
                </c:pt>
                <c:pt idx="7">
                  <c:v>685.83512332685495</c:v>
                </c:pt>
                <c:pt idx="8">
                  <c:v>-102.76091520243244</c:v>
                </c:pt>
                <c:pt idx="9">
                  <c:v>1293.7136902932543</c:v>
                </c:pt>
                <c:pt idx="10">
                  <c:v>-403.95670114058066</c:v>
                </c:pt>
                <c:pt idx="11">
                  <c:v>-384.62952165509341</c:v>
                </c:pt>
                <c:pt idx="12">
                  <c:v>-1519.0534868642808</c:v>
                </c:pt>
                <c:pt idx="13">
                  <c:v>-5118.237609688862</c:v>
                </c:pt>
                <c:pt idx="14">
                  <c:v>1768.8933545352565</c:v>
                </c:pt>
                <c:pt idx="15">
                  <c:v>1202.4568148861435</c:v>
                </c:pt>
                <c:pt idx="16">
                  <c:v>1469.6018209181839</c:v>
                </c:pt>
                <c:pt idx="17">
                  <c:v>762.60397592005029</c:v>
                </c:pt>
                <c:pt idx="18">
                  <c:v>1976.2016484578207</c:v>
                </c:pt>
                <c:pt idx="19">
                  <c:v>-54.349717019373202</c:v>
                </c:pt>
                <c:pt idx="20">
                  <c:v>-52.81846257563484</c:v>
                </c:pt>
                <c:pt idx="21">
                  <c:v>1123.9800246441591</c:v>
                </c:pt>
                <c:pt idx="22">
                  <c:v>1309.9881766248664</c:v>
                </c:pt>
                <c:pt idx="23">
                  <c:v>-402.29784215985273</c:v>
                </c:pt>
                <c:pt idx="24">
                  <c:v>-700.06793706680946</c:v>
                </c:pt>
                <c:pt idx="25">
                  <c:v>970.85458026952983</c:v>
                </c:pt>
                <c:pt idx="26">
                  <c:v>838.8329631644965</c:v>
                </c:pt>
                <c:pt idx="27">
                  <c:v>19.857229100634868</c:v>
                </c:pt>
                <c:pt idx="28">
                  <c:v>-1527.2987030998429</c:v>
                </c:pt>
                <c:pt idx="29">
                  <c:v>1806.8017177516012</c:v>
                </c:pt>
                <c:pt idx="30">
                  <c:v>769.45535798245783</c:v>
                </c:pt>
                <c:pt idx="31">
                  <c:v>72.037668991368264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9F5-4001-A31A-88E9D2E5B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568847"/>
        <c:axId val="89958564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t.wykładniczy!$C$1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t.wykładniczy!$C$2:$C$33</c15:sqref>
                        </c15:formulaRef>
                      </c:ext>
                    </c:extLst>
                    <c:numCache>
                      <c:formatCode>#\ ##0.0</c:formatCode>
                      <c:ptCount val="3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9F5-4001-A31A-88E9D2E5B96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t.wykładniczy!$D$2:$D$33</c15:sqref>
                        </c15:formulaRef>
                      </c:ext>
                    </c:extLst>
                    <c:numCache>
                      <c:formatCode>#,##0</c:formatCode>
                      <c:ptCount val="3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9F5-4001-A31A-88E9D2E5B96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t.wykładniczy!$E$2:$E$33</c15:sqref>
                        </c15:formulaRef>
                      </c:ext>
                    </c:extLst>
                    <c:numCache>
                      <c:formatCode>#,##0</c:formatCode>
                      <c:ptCount val="32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13</c:v>
                      </c:pt>
                      <c:pt idx="12">
                        <c:v>14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17</c:v>
                      </c:pt>
                      <c:pt idx="16">
                        <c:v>18</c:v>
                      </c:pt>
                      <c:pt idx="17">
                        <c:v>19</c:v>
                      </c:pt>
                      <c:pt idx="18">
                        <c:v>20</c:v>
                      </c:pt>
                      <c:pt idx="19">
                        <c:v>21</c:v>
                      </c:pt>
                      <c:pt idx="20">
                        <c:v>22</c:v>
                      </c:pt>
                      <c:pt idx="21">
                        <c:v>23</c:v>
                      </c:pt>
                      <c:pt idx="22">
                        <c:v>24</c:v>
                      </c:pt>
                      <c:pt idx="23">
                        <c:v>25</c:v>
                      </c:pt>
                      <c:pt idx="24">
                        <c:v>26</c:v>
                      </c:pt>
                      <c:pt idx="25">
                        <c:v>27</c:v>
                      </c:pt>
                      <c:pt idx="26">
                        <c:v>28</c:v>
                      </c:pt>
                      <c:pt idx="27">
                        <c:v>29</c:v>
                      </c:pt>
                      <c:pt idx="28">
                        <c:v>30</c:v>
                      </c:pt>
                      <c:pt idx="29">
                        <c:v>31</c:v>
                      </c:pt>
                      <c:pt idx="30">
                        <c:v>32</c:v>
                      </c:pt>
                      <c:pt idx="31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9F5-4001-A31A-88E9D2E5B9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t.wykładniczy!$G$1</c15:sqref>
                        </c15:formulaRef>
                      </c:ext>
                    </c:extLst>
                    <c:strCache>
                      <c:ptCount val="1"/>
                      <c:pt idx="0">
                        <c:v>gva-trend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t.wykładniczy!$G$2:$G$33</c15:sqref>
                        </c15:formulaRef>
                      </c:ext>
                    </c:extLst>
                    <c:numCache>
                      <c:formatCode>#\ ##0.0</c:formatCode>
                      <c:ptCount val="32"/>
                      <c:pt idx="0">
                        <c:v>-1564.0388282578424</c:v>
                      </c:pt>
                      <c:pt idx="1">
                        <c:v>1060.3268856205104</c:v>
                      </c:pt>
                      <c:pt idx="2">
                        <c:v>4229.9162406207543</c:v>
                      </c:pt>
                      <c:pt idx="3">
                        <c:v>1345.9612112665345</c:v>
                      </c:pt>
                      <c:pt idx="4">
                        <c:v>-1798.5707635521467</c:v>
                      </c:pt>
                      <c:pt idx="5">
                        <c:v>1408.3910775349796</c:v>
                      </c:pt>
                      <c:pt idx="6">
                        <c:v>4002.9333702563017</c:v>
                      </c:pt>
                      <c:pt idx="7">
                        <c:v>1495.8854927793727</c:v>
                      </c:pt>
                      <c:pt idx="8">
                        <c:v>-2219.2474239776493</c:v>
                      </c:pt>
                      <c:pt idx="9">
                        <c:v>1682.6213537892691</c:v>
                      </c:pt>
                      <c:pt idx="10">
                        <c:v>4674.1676092705893</c:v>
                      </c:pt>
                      <c:pt idx="11">
                        <c:v>1093.1619621618884</c:v>
                      </c:pt>
                      <c:pt idx="12">
                        <c:v>-4041.771872920348</c:v>
                      </c:pt>
                      <c:pt idx="13">
                        <c:v>-6555.3780301456136</c:v>
                      </c:pt>
                      <c:pt idx="14">
                        <c:v>-1394.5207089673495</c:v>
                      </c:pt>
                      <c:pt idx="15">
                        <c:v>-3391.9944313950036</c:v>
                      </c:pt>
                      <c:pt idx="16">
                        <c:v>-5541.8428596402882</c:v>
                      </c:pt>
                      <c:pt idx="17">
                        <c:v>-2178.1928887842878</c:v>
                      </c:pt>
                      <c:pt idx="18">
                        <c:v>3186.3716444154707</c:v>
                      </c:pt>
                      <c:pt idx="19">
                        <c:v>-71.525384278284037</c:v>
                      </c:pt>
                      <c:pt idx="20">
                        <c:v>-3747.4266312209656</c:v>
                      </c:pt>
                      <c:pt idx="21">
                        <c:v>-26.048976368321746</c:v>
                      </c:pt>
                      <c:pt idx="22">
                        <c:v>4668.6378217666279</c:v>
                      </c:pt>
                      <c:pt idx="23">
                        <c:v>1059.1124369151221</c:v>
                      </c:pt>
                      <c:pt idx="24">
                        <c:v>-3267.7345529043523</c:v>
                      </c:pt>
                      <c:pt idx="25">
                        <c:v>296.80528193355713</c:v>
                      </c:pt>
                      <c:pt idx="26">
                        <c:v>4516.6083135229201</c:v>
                      </c:pt>
                      <c:pt idx="27">
                        <c:v>1325.4931989047545</c:v>
                      </c:pt>
                      <c:pt idx="28">
                        <c:v>-3832.3456767202442</c:v>
                      </c:pt>
                      <c:pt idx="29">
                        <c:v>564.36378596922441</c:v>
                      </c:pt>
                      <c:pt idx="30">
                        <c:v>4710.9952414660947</c:v>
                      </c:pt>
                      <c:pt idx="31">
                        <c:v>1568.2500628147463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9F5-4001-A31A-88E9D2E5B9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t.wykładniczy!$H$1</c15:sqref>
                        </c15:formulaRef>
                      </c:ext>
                    </c:extLst>
                    <c:strCache>
                      <c:ptCount val="1"/>
                      <c:pt idx="0">
                        <c:v>(gva-trend)^2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t.wykładniczy!$H$2:$H$33</c15:sqref>
                        </c15:formulaRef>
                      </c:ext>
                    </c:extLst>
                    <c:numCache>
                      <c:formatCode>#\ ##0.0</c:formatCode>
                      <c:ptCount val="32"/>
                      <c:pt idx="0">
                        <c:v>2446217.4562981646</c:v>
                      </c:pt>
                      <c:pt idx="1">
                        <c:v>1124293.1043696911</c:v>
                      </c:pt>
                      <c:pt idx="2">
                        <c:v>17892191.402667213</c:v>
                      </c:pt>
                      <c:pt idx="3">
                        <c:v>1811611.5822340767</c:v>
                      </c:pt>
                      <c:pt idx="4">
                        <c:v>3234856.7915045521</c:v>
                      </c:pt>
                      <c:pt idx="5">
                        <c:v>1983565.4272801408</c:v>
                      </c:pt>
                      <c:pt idx="6">
                        <c:v>16023475.566711474</c:v>
                      </c:pt>
                      <c:pt idx="7">
                        <c:v>2237673.407507787</c:v>
                      </c:pt>
                      <c:pt idx="8">
                        <c:v>4925059.1288314322</c:v>
                      </c:pt>
                      <c:pt idx="9">
                        <c:v>2831214.6202276326</c:v>
                      </c:pt>
                      <c:pt idx="10">
                        <c:v>21847842.839554336</c:v>
                      </c:pt>
                      <c:pt idx="11">
                        <c:v>1195003.07551763</c:v>
                      </c:pt>
                      <c:pt idx="12">
                        <c:v>16335919.872730058</c:v>
                      </c:pt>
                      <c:pt idx="13">
                        <c:v>42972981.118115783</c:v>
                      </c:pt>
                      <c:pt idx="14">
                        <c:v>1944688.0077387991</c:v>
                      </c:pt>
                      <c:pt idx="15">
                        <c:v>11505626.222614715</c:v>
                      </c:pt>
                      <c:pt idx="16">
                        <c:v>30712022.280946046</c:v>
                      </c:pt>
                      <c:pt idx="17">
                        <c:v>4744524.2607504409</c:v>
                      </c:pt>
                      <c:pt idx="18">
                        <c:v>10152964.256334951</c:v>
                      </c:pt>
                      <c:pt idx="19">
                        <c:v>5115.8805961562011</c:v>
                      </c:pt>
                      <c:pt idx="20">
                        <c:v>14043206.356384115</c:v>
                      </c:pt>
                      <c:pt idx="21">
                        <c:v>678.54916983738474</c:v>
                      </c:pt>
                      <c:pt idx="22">
                        <c:v>21796179.110829845</c:v>
                      </c:pt>
                      <c:pt idx="23">
                        <c:v>1121719.1540282886</c:v>
                      </c:pt>
                      <c:pt idx="24">
                        <c:v>10678089.108245008</c:v>
                      </c:pt>
                      <c:pt idx="25">
                        <c:v>88093.375383658335</c:v>
                      </c:pt>
                      <c:pt idx="26">
                        <c:v>20399750.657784358</c:v>
                      </c:pt>
                      <c:pt idx="27">
                        <c:v>1756932.2203427593</c:v>
                      </c:pt>
                      <c:pt idx="28">
                        <c:v>14686873.385876346</c:v>
                      </c:pt>
                      <c:pt idx="29">
                        <c:v>318506.48291351652</c:v>
                      </c:pt>
                      <c:pt idx="30">
                        <c:v>22193476.165116187</c:v>
                      </c:pt>
                      <c:pt idx="31">
                        <c:v>2459408.2595184557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9F5-4001-A31A-88E9D2E5B9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t.wykładniczy!$I$1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t.wykładniczy!$I$2:$I$33</c15:sqref>
                        </c15:formulaRef>
                      </c:ext>
                    </c:extLst>
                    <c:numCache>
                      <c:formatCode>#\ ##0.0</c:formatCode>
                      <c:ptCount val="3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9F5-4001-A31A-88E9D2E5B96D}"/>
                  </c:ext>
                </c:extLst>
              </c15:ser>
            </c15:filteredLineSeries>
          </c:ext>
        </c:extLst>
      </c:lineChart>
      <c:catAx>
        <c:axId val="899568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9585647"/>
        <c:crosses val="autoZero"/>
        <c:auto val="1"/>
        <c:lblAlgn val="ctr"/>
        <c:lblOffset val="100"/>
        <c:noMultiLvlLbl val="0"/>
      </c:catAx>
      <c:valAx>
        <c:axId val="89958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956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9</xdr:row>
      <xdr:rowOff>140970</xdr:rowOff>
    </xdr:from>
    <xdr:to>
      <xdr:col>35</xdr:col>
      <xdr:colOff>30480</xdr:colOff>
      <xdr:row>32</xdr:row>
      <xdr:rowOff>144780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80607B86-54ED-3A09-017D-59DEC3B6D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144780</xdr:colOff>
      <xdr:row>8</xdr:row>
      <xdr:rowOff>102870</xdr:rowOff>
    </xdr:from>
    <xdr:to>
      <xdr:col>34</xdr:col>
      <xdr:colOff>15240</xdr:colOff>
      <xdr:row>32</xdr:row>
      <xdr:rowOff>30480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437D6DB-71A4-5E8C-1832-085627FE5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175260</xdr:colOff>
      <xdr:row>8</xdr:row>
      <xdr:rowOff>179070</xdr:rowOff>
    </xdr:from>
    <xdr:to>
      <xdr:col>34</xdr:col>
      <xdr:colOff>0</xdr:colOff>
      <xdr:row>32</xdr:row>
      <xdr:rowOff>53340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DA3C0E5-4F4F-81CE-7647-D2ACBD842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cpe\.vscode\extensions\studia\time_series\lab02\grecja_ceny_stale_nominalne.xlsx" TargetMode="External"/><Relationship Id="rId1" Type="http://schemas.openxmlformats.org/officeDocument/2006/relationships/externalLinkPath" Target="/Users/kacpe/.vscode/extensions/studia/time_series/lab02/grecja_ceny_stale_nominal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VA Eurostat"/>
      <sheetName val="GVA - ceny stałe 2015 i 2024"/>
      <sheetName val="Analiza GVA - Grecja"/>
    </sheetNames>
    <sheetDataSet>
      <sheetData sheetId="0"/>
      <sheetData sheetId="1">
        <row r="90">
          <cell r="P90">
            <v>42947.211172552692</v>
          </cell>
        </row>
        <row r="91">
          <cell r="P91">
            <v>45765.543870669237</v>
          </cell>
        </row>
        <row r="92">
          <cell r="P92">
            <v>49129.94546118634</v>
          </cell>
        </row>
        <row r="93">
          <cell r="P93">
            <v>46441.651601984864</v>
          </cell>
        </row>
        <row r="94">
          <cell r="P94">
            <v>43493.633431363356</v>
          </cell>
        </row>
        <row r="95">
          <cell r="P95">
            <v>46897.965426221235</v>
          </cell>
        </row>
        <row r="96">
          <cell r="P96">
            <v>49690.737954007549</v>
          </cell>
        </row>
        <row r="97">
          <cell r="P97">
            <v>47382.784140871947</v>
          </cell>
        </row>
        <row r="98">
          <cell r="P98">
            <v>43867.612882047521</v>
          </cell>
        </row>
        <row r="99">
          <cell r="P99">
            <v>47970.314692057022</v>
          </cell>
        </row>
        <row r="100">
          <cell r="P100">
            <v>51163.569151284646</v>
          </cell>
        </row>
        <row r="101">
          <cell r="P101">
            <v>47785.150693167096</v>
          </cell>
        </row>
        <row r="102">
          <cell r="P102">
            <v>42853.686862680821</v>
          </cell>
        </row>
        <row r="103">
          <cell r="P103">
            <v>40544.437372708206</v>
          </cell>
        </row>
        <row r="104">
          <cell r="P104">
            <v>45910.541887611667</v>
          </cell>
        </row>
        <row r="105">
          <cell r="P105">
            <v>44119.209766035354</v>
          </cell>
        </row>
        <row r="106">
          <cell r="P106">
            <v>42176.401243331544</v>
          </cell>
        </row>
        <row r="107">
          <cell r="P107">
            <v>45747.993338967841</v>
          </cell>
        </row>
        <row r="108">
          <cell r="P108">
            <v>51321.406147793867</v>
          </cell>
        </row>
        <row r="109">
          <cell r="P109">
            <v>48273.267494312036</v>
          </cell>
        </row>
        <row r="110">
          <cell r="P110">
            <v>44808.038688114408</v>
          </cell>
        </row>
        <row r="111">
          <cell r="P111">
            <v>48741.006832474814</v>
          </cell>
        </row>
        <row r="112">
          <cell r="P112">
            <v>53648.206169467885</v>
          </cell>
        </row>
        <row r="113">
          <cell r="P113">
            <v>50252.119390845575</v>
          </cell>
        </row>
        <row r="114">
          <cell r="P114">
            <v>46139.641110156772</v>
          </cell>
        </row>
        <row r="115">
          <cell r="P115">
            <v>49919.483810142548</v>
          </cell>
        </row>
        <row r="116">
          <cell r="P116">
            <v>54355.52793367525</v>
          </cell>
        </row>
        <row r="117">
          <cell r="P117">
            <v>51381.596226313428</v>
          </cell>
        </row>
        <row r="118">
          <cell r="P118">
            <v>46441.887179591591</v>
          </cell>
        </row>
        <row r="119">
          <cell r="P119">
            <v>51057.677017059439</v>
          </cell>
        </row>
        <row r="120">
          <cell r="P120">
            <v>55424.343535410102</v>
          </cell>
        </row>
        <row r="121">
          <cell r="P121">
            <v>52502.592267939013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1614-926A-4CE9-B376-543C75F0537F}">
  <dimension ref="A1:AJ64"/>
  <sheetViews>
    <sheetView topLeftCell="A10" zoomScale="85" zoomScaleNormal="85" workbookViewId="0"/>
  </sheetViews>
  <sheetFormatPr defaultRowHeight="14.4" x14ac:dyDescent="0.3"/>
  <cols>
    <col min="1" max="1" width="7" bestFit="1" customWidth="1"/>
    <col min="2" max="2" width="9" bestFit="1" customWidth="1"/>
    <col min="3" max="3" width="6.5546875" bestFit="1" customWidth="1"/>
    <col min="4" max="4" width="13.33203125" customWidth="1"/>
    <col min="5" max="5" width="16" customWidth="1"/>
    <col min="6" max="6" width="14.109375" customWidth="1"/>
    <col min="7" max="7" width="12.6640625" bestFit="1" customWidth="1"/>
    <col min="8" max="9" width="15.88671875" customWidth="1"/>
    <col min="10" max="10" width="16.88671875" customWidth="1"/>
    <col min="11" max="11" width="14.21875" bestFit="1" customWidth="1"/>
    <col min="12" max="12" width="5.6640625" customWidth="1"/>
    <col min="13" max="13" width="6.21875" customWidth="1"/>
    <col min="14" max="14" width="6.77734375" customWidth="1"/>
    <col min="15" max="15" width="12.6640625" bestFit="1" customWidth="1"/>
    <col min="16" max="16" width="16.33203125" customWidth="1"/>
    <col min="17" max="36" width="3" bestFit="1" customWidth="1"/>
  </cols>
  <sheetData>
    <row r="1" spans="1:16" x14ac:dyDescent="0.3">
      <c r="A1" t="s">
        <v>0</v>
      </c>
      <c r="B1" t="s">
        <v>1</v>
      </c>
      <c r="F1" t="s">
        <v>13</v>
      </c>
      <c r="G1" t="s">
        <v>14</v>
      </c>
      <c r="H1" t="s">
        <v>15</v>
      </c>
      <c r="J1" t="s">
        <v>2</v>
      </c>
      <c r="K1" t="s">
        <v>3</v>
      </c>
      <c r="O1" t="s">
        <v>4</v>
      </c>
    </row>
    <row r="2" spans="1:16" x14ac:dyDescent="0.3">
      <c r="A2">
        <v>2017.1</v>
      </c>
      <c r="B2" s="6">
        <f>'[1]GVA - ceny stałe 2015 i 2024'!P90</f>
        <v>42947.211172552692</v>
      </c>
      <c r="C2" s="1"/>
      <c r="D2" s="2">
        <v>1</v>
      </c>
      <c r="E2" s="2">
        <v>2</v>
      </c>
      <c r="F2" s="1">
        <f t="shared" ref="F2:F33" si="0">$D$49+$D$50*E2</f>
        <v>44473.171143438507</v>
      </c>
      <c r="G2" s="1">
        <f>B2-F2</f>
        <v>-1525.959970885815</v>
      </c>
      <c r="H2" s="1">
        <f t="shared" ref="H2:H33" si="1">G2^2</f>
        <v>2328553.8327458375</v>
      </c>
      <c r="I2" s="1"/>
      <c r="O2" t="s">
        <v>5</v>
      </c>
      <c r="P2" t="s">
        <v>6</v>
      </c>
    </row>
    <row r="3" spans="1:16" x14ac:dyDescent="0.3">
      <c r="A3">
        <v>2017.1999999999998</v>
      </c>
      <c r="B3" s="6">
        <f>'[1]GVA - ceny stałe 2015 i 2024'!P91</f>
        <v>45765.543870669237</v>
      </c>
      <c r="C3" s="1"/>
      <c r="D3" s="2">
        <v>1</v>
      </c>
      <c r="E3" s="2">
        <v>3</v>
      </c>
      <c r="F3" s="1">
        <f t="shared" si="0"/>
        <v>44684.892329249022</v>
      </c>
      <c r="G3" s="1">
        <f t="shared" ref="G3:G33" si="2">B3-F3</f>
        <v>1080.6515414202149</v>
      </c>
      <c r="H3" s="1">
        <f t="shared" si="1"/>
        <v>1167807.7539738866</v>
      </c>
      <c r="I3" s="1"/>
      <c r="J3">
        <f t="shared" ref="J3:J33" si="3">B3-B2</f>
        <v>2818.3326981165446</v>
      </c>
      <c r="K3">
        <f>J3-P4</f>
        <v>9.3445784002979053</v>
      </c>
      <c r="N3" t="s">
        <v>7</v>
      </c>
      <c r="O3">
        <f>AVERAGE(J2,J6,J10,,J14,J18,J22,J26,J30,B34)</f>
        <v>-3231.859739530536</v>
      </c>
      <c r="P3">
        <f>O3-$O$8</f>
        <v>-3412.4103436219939</v>
      </c>
    </row>
    <row r="4" spans="1:16" x14ac:dyDescent="0.3">
      <c r="A4">
        <v>2017.2999999999997</v>
      </c>
      <c r="B4" s="6">
        <f>'[1]GVA - ceny stałe 2015 i 2024'!P92</f>
        <v>49129.94546118634</v>
      </c>
      <c r="C4" s="1"/>
      <c r="D4" s="2">
        <v>1</v>
      </c>
      <c r="E4" s="2">
        <v>4</v>
      </c>
      <c r="F4" s="1">
        <f t="shared" si="0"/>
        <v>44896.613515059529</v>
      </c>
      <c r="G4" s="1">
        <f t="shared" si="2"/>
        <v>4233.3319461268111</v>
      </c>
      <c r="H4" s="1">
        <f t="shared" si="1"/>
        <v>17921099.366097815</v>
      </c>
      <c r="I4" s="1"/>
      <c r="J4">
        <f t="shared" si="3"/>
        <v>3364.4015905171036</v>
      </c>
      <c r="K4">
        <f>J4-P5</f>
        <v>-232.80956985110151</v>
      </c>
      <c r="N4" t="s">
        <v>8</v>
      </c>
      <c r="O4">
        <f>AVERAGE(J3,J7,J11,J15,J19,J23,J27,J31,J35)</f>
        <v>2989.5387238077046</v>
      </c>
      <c r="P4">
        <f t="shared" ref="P4:P6" si="4">O4-$O$8</f>
        <v>2808.9881197162467</v>
      </c>
    </row>
    <row r="5" spans="1:16" x14ac:dyDescent="0.3">
      <c r="A5">
        <v>2017.3999999999996</v>
      </c>
      <c r="B5" s="6">
        <f>'[1]GVA - ceny stałe 2015 i 2024'!P93</f>
        <v>46441.651601984864</v>
      </c>
      <c r="C5" s="1"/>
      <c r="D5" s="2">
        <v>1</v>
      </c>
      <c r="E5" s="2">
        <v>5</v>
      </c>
      <c r="F5" s="1">
        <f t="shared" si="0"/>
        <v>45108.334700870037</v>
      </c>
      <c r="G5" s="1">
        <f t="shared" si="2"/>
        <v>1333.3169011148275</v>
      </c>
      <c r="H5" s="1">
        <f t="shared" si="1"/>
        <v>1777733.9587984467</v>
      </c>
      <c r="I5" s="1"/>
      <c r="J5">
        <f t="shared" si="3"/>
        <v>-2688.2938592014762</v>
      </c>
      <c r="K5">
        <f>J5-P6</f>
        <v>305.49507726098091</v>
      </c>
      <c r="N5" t="s">
        <v>9</v>
      </c>
      <c r="O5">
        <f>AVERAGE(J4,J8,J12,,J16,J20,J24,J28,J32)</f>
        <v>3777.761764459663</v>
      </c>
      <c r="P5">
        <f t="shared" si="4"/>
        <v>3597.2111603682051</v>
      </c>
    </row>
    <row r="6" spans="1:16" x14ac:dyDescent="0.3">
      <c r="A6">
        <v>2018.1</v>
      </c>
      <c r="B6" s="6">
        <f>'[1]GVA - ceny stałe 2015 i 2024'!P94</f>
        <v>43493.633431363356</v>
      </c>
      <c r="C6" s="1"/>
      <c r="D6" s="2">
        <v>1</v>
      </c>
      <c r="E6" s="2">
        <v>6</v>
      </c>
      <c r="F6" s="1">
        <f t="shared" si="0"/>
        <v>45320.055886680551</v>
      </c>
      <c r="G6" s="1">
        <f t="shared" si="2"/>
        <v>-1826.4224553171953</v>
      </c>
      <c r="H6" s="1">
        <f t="shared" si="1"/>
        <v>3335818.9852868924</v>
      </c>
      <c r="I6" s="1"/>
      <c r="J6">
        <f t="shared" si="3"/>
        <v>-2948.018170621508</v>
      </c>
      <c r="K6">
        <f>J6-P3</f>
        <v>464.39217300048585</v>
      </c>
      <c r="N6" t="s">
        <v>10</v>
      </c>
      <c r="O6">
        <f>AVERAGE(J5,J9,J13,J17,J21,J25,J29,J33)</f>
        <v>-2813.2383323709992</v>
      </c>
      <c r="P6">
        <f t="shared" si="4"/>
        <v>-2993.7889364624571</v>
      </c>
    </row>
    <row r="7" spans="1:16" x14ac:dyDescent="0.3">
      <c r="A7">
        <v>2018.1999999999998</v>
      </c>
      <c r="B7" s="6">
        <f>'[1]GVA - ceny stałe 2015 i 2024'!P95</f>
        <v>46897.965426221235</v>
      </c>
      <c r="C7" s="1"/>
      <c r="D7" s="2">
        <v>1</v>
      </c>
      <c r="E7" s="2">
        <v>7</v>
      </c>
      <c r="F7" s="1">
        <f t="shared" si="0"/>
        <v>45531.777072491059</v>
      </c>
      <c r="G7" s="1">
        <f t="shared" si="2"/>
        <v>1366.1883537301765</v>
      </c>
      <c r="H7" s="1">
        <f t="shared" si="1"/>
        <v>1866470.6178679697</v>
      </c>
      <c r="I7" s="1"/>
      <c r="J7">
        <f t="shared" si="3"/>
        <v>3404.3319948578792</v>
      </c>
      <c r="K7">
        <f>J7-P4</f>
        <v>595.34387514163245</v>
      </c>
    </row>
    <row r="8" spans="1:16" x14ac:dyDescent="0.3">
      <c r="A8">
        <v>2018.2999999999997</v>
      </c>
      <c r="B8" s="6">
        <f>'[1]GVA - ceny stałe 2015 i 2024'!P96</f>
        <v>49690.737954007549</v>
      </c>
      <c r="C8" s="1"/>
      <c r="D8" s="2">
        <v>1</v>
      </c>
      <c r="E8" s="2">
        <v>8</v>
      </c>
      <c r="F8" s="1">
        <f t="shared" si="0"/>
        <v>45743.498258301566</v>
      </c>
      <c r="G8" s="1">
        <f t="shared" si="2"/>
        <v>3947.2396957059827</v>
      </c>
      <c r="H8" s="1">
        <f t="shared" si="1"/>
        <v>15580701.21535706</v>
      </c>
      <c r="I8" s="1"/>
      <c r="J8">
        <f t="shared" si="3"/>
        <v>2792.7725277863137</v>
      </c>
      <c r="K8">
        <f>J8-P5</f>
        <v>-804.4386325818914</v>
      </c>
      <c r="O8">
        <f>AVERAGE(O3:O6)</f>
        <v>180.55060409145813</v>
      </c>
      <c r="P8">
        <f>SUM(P3:P6)</f>
        <v>0</v>
      </c>
    </row>
    <row r="9" spans="1:16" x14ac:dyDescent="0.3">
      <c r="A9">
        <v>2018.3999999999996</v>
      </c>
      <c r="B9" s="6">
        <f>'[1]GVA - ceny stałe 2015 i 2024'!P97</f>
        <v>47382.784140871947</v>
      </c>
      <c r="C9" s="1"/>
      <c r="D9" s="2">
        <v>1</v>
      </c>
      <c r="E9" s="2">
        <v>9</v>
      </c>
      <c r="F9" s="1">
        <f t="shared" si="0"/>
        <v>45955.219444112074</v>
      </c>
      <c r="G9" s="1">
        <f t="shared" si="2"/>
        <v>1427.5646967598732</v>
      </c>
      <c r="H9" s="1">
        <f t="shared" si="1"/>
        <v>2037940.9634351088</v>
      </c>
      <c r="I9" s="1"/>
      <c r="J9">
        <f t="shared" si="3"/>
        <v>-2307.9538131356021</v>
      </c>
      <c r="K9">
        <f>J9-P6</f>
        <v>685.83512332685495</v>
      </c>
    </row>
    <row r="10" spans="1:16" x14ac:dyDescent="0.3">
      <c r="A10">
        <v>2019.1</v>
      </c>
      <c r="B10" s="6">
        <f>'[1]GVA - ceny stałe 2015 i 2024'!P98</f>
        <v>43867.612882047521</v>
      </c>
      <c r="C10" s="1"/>
      <c r="D10" s="2">
        <v>1</v>
      </c>
      <c r="E10" s="2">
        <v>10</v>
      </c>
      <c r="F10" s="1">
        <f t="shared" si="0"/>
        <v>46166.940629922581</v>
      </c>
      <c r="G10" s="1">
        <f t="shared" si="2"/>
        <v>-2299.3277478750606</v>
      </c>
      <c r="H10" s="1">
        <f t="shared" si="1"/>
        <v>5286908.0921481978</v>
      </c>
      <c r="I10" s="1"/>
      <c r="J10">
        <f t="shared" si="3"/>
        <v>-3515.1712588244263</v>
      </c>
      <c r="K10">
        <f>J10-P3</f>
        <v>-102.76091520243244</v>
      </c>
    </row>
    <row r="11" spans="1:16" x14ac:dyDescent="0.3">
      <c r="A11">
        <v>2019.1999999999998</v>
      </c>
      <c r="B11" s="6">
        <f>'[1]GVA - ceny stałe 2015 i 2024'!P99</f>
        <v>47970.314692057022</v>
      </c>
      <c r="C11" s="1"/>
      <c r="D11" s="2">
        <v>1</v>
      </c>
      <c r="E11" s="2">
        <v>11</v>
      </c>
      <c r="F11" s="1">
        <f t="shared" si="0"/>
        <v>46378.661815733096</v>
      </c>
      <c r="G11" s="1">
        <f t="shared" si="2"/>
        <v>1591.6528763239257</v>
      </c>
      <c r="H11" s="1">
        <f t="shared" si="1"/>
        <v>2533358.8787102262</v>
      </c>
      <c r="I11" s="1"/>
      <c r="J11">
        <f t="shared" si="3"/>
        <v>4102.7018100095011</v>
      </c>
      <c r="K11">
        <f>J11-P4</f>
        <v>1293.7136902932543</v>
      </c>
    </row>
    <row r="12" spans="1:16" x14ac:dyDescent="0.3">
      <c r="A12">
        <v>2019.2999999999997</v>
      </c>
      <c r="B12" s="6">
        <f>'[1]GVA - ceny stałe 2015 i 2024'!P100</f>
        <v>51163.569151284646</v>
      </c>
      <c r="C12" s="1"/>
      <c r="D12" s="2">
        <v>1</v>
      </c>
      <c r="E12" s="2">
        <v>12</v>
      </c>
      <c r="F12" s="1">
        <f t="shared" si="0"/>
        <v>46590.383001543603</v>
      </c>
      <c r="G12" s="1">
        <f t="shared" si="2"/>
        <v>4573.1861497410428</v>
      </c>
      <c r="H12" s="1">
        <f t="shared" si="1"/>
        <v>20914031.560183302</v>
      </c>
      <c r="I12" s="1"/>
      <c r="J12">
        <f t="shared" si="3"/>
        <v>3193.2544592276245</v>
      </c>
      <c r="K12">
        <f>J12-P5</f>
        <v>-403.95670114058066</v>
      </c>
    </row>
    <row r="13" spans="1:16" x14ac:dyDescent="0.3">
      <c r="A13">
        <v>2019.3999999999996</v>
      </c>
      <c r="B13" s="6">
        <f>'[1]GVA - ceny stałe 2015 i 2024'!P101</f>
        <v>47785.150693167096</v>
      </c>
      <c r="C13" s="1"/>
      <c r="D13" s="2">
        <v>1</v>
      </c>
      <c r="E13" s="2">
        <v>13</v>
      </c>
      <c r="F13" s="1">
        <f t="shared" si="0"/>
        <v>46802.104187354111</v>
      </c>
      <c r="G13" s="1">
        <f t="shared" si="2"/>
        <v>983.04650581298483</v>
      </c>
      <c r="H13" s="1">
        <f t="shared" si="1"/>
        <v>966380.43259111885</v>
      </c>
      <c r="I13" s="1"/>
      <c r="J13">
        <f t="shared" si="3"/>
        <v>-3378.4184581175505</v>
      </c>
      <c r="K13">
        <f>J13-P6</f>
        <v>-384.62952165509341</v>
      </c>
    </row>
    <row r="14" spans="1:16" x14ac:dyDescent="0.3">
      <c r="A14">
        <v>2020.1</v>
      </c>
      <c r="B14" s="6">
        <f>'[1]GVA - ceny stałe 2015 i 2024'!P102</f>
        <v>42853.686862680821</v>
      </c>
      <c r="C14" s="1"/>
      <c r="D14" s="2">
        <v>1</v>
      </c>
      <c r="E14" s="2">
        <v>14</v>
      </c>
      <c r="F14" s="1">
        <f t="shared" si="0"/>
        <v>47013.825373164625</v>
      </c>
      <c r="G14" s="1">
        <f t="shared" si="2"/>
        <v>-4160.1385104838046</v>
      </c>
      <c r="H14" s="1">
        <f t="shared" si="1"/>
        <v>17306752.426410407</v>
      </c>
      <c r="I14" s="1"/>
      <c r="J14">
        <f t="shared" si="3"/>
        <v>-4931.4638304862747</v>
      </c>
      <c r="K14">
        <f>J14-P3</f>
        <v>-1519.0534868642808</v>
      </c>
    </row>
    <row r="15" spans="1:16" x14ac:dyDescent="0.3">
      <c r="A15">
        <v>2020.1999999999998</v>
      </c>
      <c r="B15" s="6">
        <f>'[1]GVA - ceny stałe 2015 i 2024'!P103</f>
        <v>40544.437372708206</v>
      </c>
      <c r="C15" s="1"/>
      <c r="D15" s="2">
        <v>1</v>
      </c>
      <c r="E15" s="2">
        <v>15</v>
      </c>
      <c r="F15" s="1">
        <f t="shared" si="0"/>
        <v>47225.546558975133</v>
      </c>
      <c r="G15" s="1">
        <f t="shared" si="2"/>
        <v>-6681.1091862669273</v>
      </c>
      <c r="H15" s="1">
        <f t="shared" si="1"/>
        <v>44637219.958820321</v>
      </c>
      <c r="I15" s="1"/>
      <c r="J15">
        <f t="shared" si="3"/>
        <v>-2309.2494899726153</v>
      </c>
      <c r="K15">
        <f>J15-P4</f>
        <v>-5118.237609688862</v>
      </c>
    </row>
    <row r="16" spans="1:16" x14ac:dyDescent="0.3">
      <c r="A16">
        <v>2020.2999999999997</v>
      </c>
      <c r="B16" s="6">
        <f>'[1]GVA - ceny stałe 2015 i 2024'!P104</f>
        <v>45910.541887611667</v>
      </c>
      <c r="C16" s="1"/>
      <c r="D16" s="2">
        <v>1</v>
      </c>
      <c r="E16" s="2">
        <v>16</v>
      </c>
      <c r="F16" s="1">
        <f t="shared" si="0"/>
        <v>47437.26774478564</v>
      </c>
      <c r="G16" s="1">
        <f t="shared" si="2"/>
        <v>-1526.7258571739731</v>
      </c>
      <c r="H16" s="1">
        <f t="shared" si="1"/>
        <v>2330891.8429636029</v>
      </c>
      <c r="I16" s="1"/>
      <c r="J16">
        <f t="shared" si="3"/>
        <v>5366.1045149034617</v>
      </c>
      <c r="K16">
        <f>J16-P5</f>
        <v>1768.8933545352565</v>
      </c>
    </row>
    <row r="17" spans="1:11" x14ac:dyDescent="0.3">
      <c r="A17">
        <v>2020.3999999999996</v>
      </c>
      <c r="B17" s="6">
        <f>'[1]GVA - ceny stałe 2015 i 2024'!P105</f>
        <v>44119.209766035354</v>
      </c>
      <c r="C17" s="1"/>
      <c r="D17" s="2">
        <v>1</v>
      </c>
      <c r="E17" s="2">
        <v>17</v>
      </c>
      <c r="F17" s="1">
        <f t="shared" si="0"/>
        <v>47648.988930596148</v>
      </c>
      <c r="G17" s="1">
        <f t="shared" si="2"/>
        <v>-3529.779164560794</v>
      </c>
      <c r="H17" s="1">
        <f t="shared" si="1"/>
        <v>12459340.950567497</v>
      </c>
      <c r="I17" s="1"/>
      <c r="J17">
        <f t="shared" si="3"/>
        <v>-1791.3321215763135</v>
      </c>
      <c r="K17">
        <f>J17-P6</f>
        <v>1202.4568148861435</v>
      </c>
    </row>
    <row r="18" spans="1:11" x14ac:dyDescent="0.3">
      <c r="A18">
        <v>2021.1</v>
      </c>
      <c r="B18" s="6">
        <f>'[1]GVA - ceny stałe 2015 i 2024'!P106</f>
        <v>42176.401243331544</v>
      </c>
      <c r="C18" s="1"/>
      <c r="D18" s="2">
        <v>1</v>
      </c>
      <c r="E18" s="2">
        <v>18</v>
      </c>
      <c r="F18" s="1">
        <f t="shared" si="0"/>
        <v>47860.710116406655</v>
      </c>
      <c r="G18" s="1">
        <f t="shared" si="2"/>
        <v>-5684.3088730751115</v>
      </c>
      <c r="H18" s="1">
        <f t="shared" si="1"/>
        <v>32311367.364520445</v>
      </c>
      <c r="I18" s="1"/>
      <c r="J18">
        <f t="shared" si="3"/>
        <v>-1942.80852270381</v>
      </c>
      <c r="K18">
        <f>J18-P3</f>
        <v>1469.6018209181839</v>
      </c>
    </row>
    <row r="19" spans="1:11" x14ac:dyDescent="0.3">
      <c r="A19">
        <v>2021.1999999999998</v>
      </c>
      <c r="B19" s="6">
        <f>'[1]GVA - ceny stałe 2015 i 2024'!P107</f>
        <v>45747.993338967841</v>
      </c>
      <c r="C19" s="1"/>
      <c r="D19" s="2">
        <v>1</v>
      </c>
      <c r="E19" s="2">
        <v>19</v>
      </c>
      <c r="F19" s="1">
        <f t="shared" si="0"/>
        <v>48072.43130221717</v>
      </c>
      <c r="G19" s="1">
        <f t="shared" si="2"/>
        <v>-2324.4379632493292</v>
      </c>
      <c r="H19" s="1">
        <f t="shared" si="1"/>
        <v>5403011.8449946903</v>
      </c>
      <c r="I19" s="1"/>
      <c r="J19">
        <f t="shared" si="3"/>
        <v>3571.592095636297</v>
      </c>
      <c r="K19">
        <f>J19-P4</f>
        <v>762.60397592005029</v>
      </c>
    </row>
    <row r="20" spans="1:11" x14ac:dyDescent="0.3">
      <c r="A20">
        <v>2021.2999999999997</v>
      </c>
      <c r="B20" s="6">
        <f>'[1]GVA - ceny stałe 2015 i 2024'!P108</f>
        <v>51321.406147793867</v>
      </c>
      <c r="C20" s="1"/>
      <c r="D20" s="2">
        <v>1</v>
      </c>
      <c r="E20" s="2">
        <v>20</v>
      </c>
      <c r="F20" s="1">
        <f t="shared" si="0"/>
        <v>48284.152488027677</v>
      </c>
      <c r="G20" s="1">
        <f t="shared" si="2"/>
        <v>3037.2536597661892</v>
      </c>
      <c r="H20" s="1">
        <f t="shared" si="1"/>
        <v>9224909.7937631104</v>
      </c>
      <c r="I20" s="1"/>
      <c r="J20">
        <f t="shared" si="3"/>
        <v>5573.4128088260259</v>
      </c>
      <c r="K20">
        <f>J20-P5</f>
        <v>1976.2016484578207</v>
      </c>
    </row>
    <row r="21" spans="1:11" x14ac:dyDescent="0.3">
      <c r="A21">
        <v>2021.3999999999996</v>
      </c>
      <c r="B21" s="6">
        <f>'[1]GVA - ceny stałe 2015 i 2024'!P109</f>
        <v>48273.267494312036</v>
      </c>
      <c r="C21" s="1"/>
      <c r="D21" s="2">
        <v>1</v>
      </c>
      <c r="E21" s="2">
        <v>21</v>
      </c>
      <c r="F21" s="1">
        <f t="shared" si="0"/>
        <v>48495.873673838185</v>
      </c>
      <c r="G21" s="1">
        <f t="shared" si="2"/>
        <v>-222.60617952614848</v>
      </c>
      <c r="H21" s="1">
        <f t="shared" si="1"/>
        <v>49553.511163227849</v>
      </c>
      <c r="I21" s="1"/>
      <c r="J21">
        <f t="shared" si="3"/>
        <v>-3048.1386534818303</v>
      </c>
      <c r="K21">
        <f>J21-P6</f>
        <v>-54.349717019373202</v>
      </c>
    </row>
    <row r="22" spans="1:11" x14ac:dyDescent="0.3">
      <c r="A22">
        <v>2022.1</v>
      </c>
      <c r="B22" s="6">
        <f>'[1]GVA - ceny stałe 2015 i 2024'!P110</f>
        <v>44808.038688114408</v>
      </c>
      <c r="C22" s="1"/>
      <c r="D22" s="2">
        <v>1</v>
      </c>
      <c r="E22" s="2">
        <v>22</v>
      </c>
      <c r="F22" s="1">
        <f t="shared" si="0"/>
        <v>48707.5948596487</v>
      </c>
      <c r="G22" s="1">
        <f t="shared" si="2"/>
        <v>-3899.5561715342919</v>
      </c>
      <c r="H22" s="1">
        <f t="shared" si="1"/>
        <v>15206538.334951185</v>
      </c>
      <c r="I22" s="1"/>
      <c r="J22">
        <f t="shared" si="3"/>
        <v>-3465.2288061976287</v>
      </c>
      <c r="K22">
        <f>J22-P3</f>
        <v>-52.81846257563484</v>
      </c>
    </row>
    <row r="23" spans="1:11" x14ac:dyDescent="0.3">
      <c r="A23">
        <v>2022.1999999999998</v>
      </c>
      <c r="B23" s="6">
        <f>'[1]GVA - ceny stałe 2015 i 2024'!P111</f>
        <v>48741.006832474814</v>
      </c>
      <c r="C23" s="1"/>
      <c r="D23" s="2">
        <v>1</v>
      </c>
      <c r="E23" s="2">
        <v>23</v>
      </c>
      <c r="F23" s="1">
        <f t="shared" si="0"/>
        <v>48919.316045459207</v>
      </c>
      <c r="G23" s="1">
        <f t="shared" si="2"/>
        <v>-178.30921298439353</v>
      </c>
      <c r="H23" s="1">
        <f t="shared" si="1"/>
        <v>31794.175435113812</v>
      </c>
      <c r="I23" s="1"/>
      <c r="J23">
        <f t="shared" si="3"/>
        <v>3932.9681443604059</v>
      </c>
      <c r="K23">
        <f>J23-P4</f>
        <v>1123.9800246441591</v>
      </c>
    </row>
    <row r="24" spans="1:11" x14ac:dyDescent="0.3">
      <c r="A24">
        <v>2022.2999999999997</v>
      </c>
      <c r="B24" s="6">
        <f>'[1]GVA - ceny stałe 2015 i 2024'!P112</f>
        <v>53648.206169467885</v>
      </c>
      <c r="C24" s="1"/>
      <c r="D24" s="2">
        <v>1</v>
      </c>
      <c r="E24" s="2">
        <v>24</v>
      </c>
      <c r="F24" s="1">
        <f t="shared" si="0"/>
        <v>49131.037231269715</v>
      </c>
      <c r="G24" s="1">
        <f t="shared" si="2"/>
        <v>4517.1689381981705</v>
      </c>
      <c r="H24" s="1">
        <f t="shared" si="1"/>
        <v>20404815.216222387</v>
      </c>
      <c r="I24" s="1"/>
      <c r="J24">
        <f t="shared" si="3"/>
        <v>4907.1993369930715</v>
      </c>
      <c r="K24">
        <f>J24-P5</f>
        <v>1309.9881766248664</v>
      </c>
    </row>
    <row r="25" spans="1:11" x14ac:dyDescent="0.3">
      <c r="A25">
        <v>2022.3999999999996</v>
      </c>
      <c r="B25" s="6">
        <f>'[1]GVA - ceny stałe 2015 i 2024'!P113</f>
        <v>50252.119390845575</v>
      </c>
      <c r="C25" s="1"/>
      <c r="D25" s="2">
        <v>1</v>
      </c>
      <c r="E25" s="2">
        <v>25</v>
      </c>
      <c r="F25" s="1">
        <f t="shared" si="0"/>
        <v>49342.758417080222</v>
      </c>
      <c r="G25" s="1">
        <f t="shared" si="2"/>
        <v>909.36097376535326</v>
      </c>
      <c r="H25" s="1">
        <f t="shared" si="1"/>
        <v>826937.38060747145</v>
      </c>
      <c r="I25" s="1"/>
      <c r="J25">
        <f t="shared" si="3"/>
        <v>-3396.0867786223098</v>
      </c>
      <c r="K25">
        <f>J25-P6</f>
        <v>-402.29784215985273</v>
      </c>
    </row>
    <row r="26" spans="1:11" x14ac:dyDescent="0.3">
      <c r="A26">
        <v>2023.1</v>
      </c>
      <c r="B26" s="6">
        <f>'[1]GVA - ceny stałe 2015 i 2024'!P114</f>
        <v>46139.641110156772</v>
      </c>
      <c r="C26" s="1"/>
      <c r="D26" s="2">
        <v>1</v>
      </c>
      <c r="E26" s="2">
        <v>26</v>
      </c>
      <c r="F26" s="1">
        <f t="shared" si="0"/>
        <v>49554.479602890729</v>
      </c>
      <c r="G26" s="1">
        <f t="shared" si="2"/>
        <v>-3414.8384927339575</v>
      </c>
      <c r="H26" s="1">
        <f t="shared" si="1"/>
        <v>11661121.931457527</v>
      </c>
      <c r="I26" s="1"/>
      <c r="J26">
        <f t="shared" si="3"/>
        <v>-4112.4782806888034</v>
      </c>
      <c r="K26">
        <f>J26-P3</f>
        <v>-700.06793706680946</v>
      </c>
    </row>
    <row r="27" spans="1:11" x14ac:dyDescent="0.3">
      <c r="A27">
        <v>2023.1999999999998</v>
      </c>
      <c r="B27" s="6">
        <f>'[1]GVA - ceny stałe 2015 i 2024'!P115</f>
        <v>49919.483810142548</v>
      </c>
      <c r="C27" s="1"/>
      <c r="D27" s="2">
        <v>1</v>
      </c>
      <c r="E27" s="2">
        <v>27</v>
      </c>
      <c r="F27" s="1">
        <f t="shared" si="0"/>
        <v>49766.200788701244</v>
      </c>
      <c r="G27" s="1">
        <f t="shared" si="2"/>
        <v>153.2830214413043</v>
      </c>
      <c r="H27" s="1">
        <f t="shared" si="1"/>
        <v>23495.684662175354</v>
      </c>
      <c r="I27" s="1"/>
      <c r="J27">
        <f t="shared" si="3"/>
        <v>3779.8426999857766</v>
      </c>
      <c r="K27">
        <f>J27-P4</f>
        <v>970.85458026952983</v>
      </c>
    </row>
    <row r="28" spans="1:11" x14ac:dyDescent="0.3">
      <c r="A28">
        <v>2023.2999999999997</v>
      </c>
      <c r="B28" s="6">
        <f>'[1]GVA - ceny stałe 2015 i 2024'!P116</f>
        <v>54355.52793367525</v>
      </c>
      <c r="C28" s="1"/>
      <c r="D28" s="2">
        <v>1</v>
      </c>
      <c r="E28" s="2">
        <v>28</v>
      </c>
      <c r="F28" s="1">
        <f t="shared" si="0"/>
        <v>49977.921974511752</v>
      </c>
      <c r="G28" s="1">
        <f t="shared" si="2"/>
        <v>4377.6059591634985</v>
      </c>
      <c r="H28" s="1">
        <f t="shared" si="1"/>
        <v>19163433.933703773</v>
      </c>
      <c r="I28" s="1"/>
      <c r="J28">
        <f t="shared" si="3"/>
        <v>4436.0441235327016</v>
      </c>
      <c r="K28">
        <f>J28-P5</f>
        <v>838.8329631644965</v>
      </c>
    </row>
    <row r="29" spans="1:11" x14ac:dyDescent="0.3">
      <c r="A29">
        <v>2023.3999999999996</v>
      </c>
      <c r="B29" s="6">
        <f>'[1]GVA - ceny stałe 2015 i 2024'!P117</f>
        <v>51381.596226313428</v>
      </c>
      <c r="C29" s="1"/>
      <c r="D29" s="2">
        <v>1</v>
      </c>
      <c r="E29" s="2">
        <v>29</v>
      </c>
      <c r="F29" s="1">
        <f t="shared" si="0"/>
        <v>50189.643160322259</v>
      </c>
      <c r="G29" s="1">
        <f t="shared" si="2"/>
        <v>1191.9530659911688</v>
      </c>
      <c r="H29" s="1">
        <f t="shared" si="1"/>
        <v>1420752.1115257477</v>
      </c>
      <c r="I29" s="1"/>
      <c r="J29">
        <f t="shared" si="3"/>
        <v>-2973.9317073618222</v>
      </c>
      <c r="K29">
        <f>J29-P6</f>
        <v>19.857229100634868</v>
      </c>
    </row>
    <row r="30" spans="1:11" x14ac:dyDescent="0.3">
      <c r="A30">
        <v>2024.1</v>
      </c>
      <c r="B30" s="6">
        <f>'[1]GVA - ceny stałe 2015 i 2024'!P118</f>
        <v>46441.887179591591</v>
      </c>
      <c r="C30" s="1"/>
      <c r="D30" s="2">
        <v>1</v>
      </c>
      <c r="E30" s="2">
        <v>30</v>
      </c>
      <c r="F30" s="1">
        <f t="shared" si="0"/>
        <v>50401.364346132774</v>
      </c>
      <c r="G30" s="1">
        <f t="shared" si="2"/>
        <v>-3959.4771665411827</v>
      </c>
      <c r="H30" s="1">
        <f t="shared" si="1"/>
        <v>15677459.432360992</v>
      </c>
      <c r="I30" s="1"/>
      <c r="J30">
        <f t="shared" si="3"/>
        <v>-4939.7090467218368</v>
      </c>
      <c r="K30">
        <f>J30-P3</f>
        <v>-1527.2987030998429</v>
      </c>
    </row>
    <row r="31" spans="1:11" x14ac:dyDescent="0.3">
      <c r="A31">
        <v>2024.1999999999998</v>
      </c>
      <c r="B31" s="6">
        <f>'[1]GVA - ceny stałe 2015 i 2024'!P119</f>
        <v>51057.677017059439</v>
      </c>
      <c r="C31" s="1"/>
      <c r="D31" s="2">
        <v>1</v>
      </c>
      <c r="E31" s="2">
        <v>31</v>
      </c>
      <c r="F31" s="1">
        <f t="shared" si="0"/>
        <v>50613.085531943281</v>
      </c>
      <c r="G31" s="1">
        <f t="shared" si="2"/>
        <v>444.59148511615786</v>
      </c>
      <c r="H31" s="1">
        <f t="shared" si="1"/>
        <v>197661.58863779082</v>
      </c>
      <c r="I31" s="1"/>
      <c r="J31">
        <f t="shared" si="3"/>
        <v>4615.789837467848</v>
      </c>
      <c r="K31">
        <f>J31-P4</f>
        <v>1806.8017177516012</v>
      </c>
    </row>
    <row r="32" spans="1:11" x14ac:dyDescent="0.3">
      <c r="A32">
        <v>2024.2999999999997</v>
      </c>
      <c r="B32" s="6">
        <f>'[1]GVA - ceny stałe 2015 i 2024'!P120</f>
        <v>55424.343535410102</v>
      </c>
      <c r="C32" s="1"/>
      <c r="D32" s="2">
        <v>1</v>
      </c>
      <c r="E32" s="2">
        <v>32</v>
      </c>
      <c r="F32" s="1">
        <f t="shared" si="0"/>
        <v>50824.806717753789</v>
      </c>
      <c r="G32" s="1">
        <f t="shared" si="2"/>
        <v>4599.5368176563134</v>
      </c>
      <c r="H32" s="1">
        <f t="shared" si="1"/>
        <v>21155738.936975967</v>
      </c>
      <c r="I32" s="1"/>
      <c r="J32">
        <f t="shared" si="3"/>
        <v>4366.666518350663</v>
      </c>
      <c r="K32">
        <f>J32-P5</f>
        <v>769.45535798245783</v>
      </c>
    </row>
    <row r="33" spans="1:35" x14ac:dyDescent="0.3">
      <c r="A33">
        <v>2024.3999999999996</v>
      </c>
      <c r="B33" s="6">
        <f>'[1]GVA - ceny stałe 2015 i 2024'!P121</f>
        <v>52502.592267939013</v>
      </c>
      <c r="C33" s="1"/>
      <c r="D33" s="2">
        <v>1</v>
      </c>
      <c r="E33" s="2">
        <v>33</v>
      </c>
      <c r="F33" s="1">
        <f t="shared" si="0"/>
        <v>51036.527903564296</v>
      </c>
      <c r="G33" s="1">
        <f t="shared" si="2"/>
        <v>1466.0643643747171</v>
      </c>
      <c r="H33" s="1">
        <f t="shared" si="1"/>
        <v>2149344.7204894433</v>
      </c>
      <c r="I33" s="1"/>
      <c r="J33">
        <f t="shared" si="3"/>
        <v>-2921.7512674710888</v>
      </c>
      <c r="K33">
        <f>J33-P6</f>
        <v>72.037668991368264</v>
      </c>
    </row>
    <row r="34" spans="1:35" x14ac:dyDescent="0.3">
      <c r="A34" s="1"/>
    </row>
    <row r="35" spans="1:35" x14ac:dyDescent="0.3">
      <c r="B35" s="1">
        <f>AVERAGE(B2:B33)</f>
        <v>47754.84952350142</v>
      </c>
      <c r="C35" s="1"/>
      <c r="D35" s="1"/>
      <c r="E35" s="1"/>
      <c r="F35" s="1"/>
      <c r="G35" s="1"/>
      <c r="H35" s="1">
        <f>SUM(H2:H33)</f>
        <v>307358946.79742873</v>
      </c>
      <c r="I35" s="1"/>
    </row>
    <row r="36" spans="1:35" x14ac:dyDescent="0.3">
      <c r="D36" s="3"/>
      <c r="E36" s="3"/>
      <c r="F36" s="3"/>
      <c r="G36" s="3"/>
      <c r="H36" s="3"/>
      <c r="I36" s="3"/>
      <c r="J36" s="3"/>
      <c r="K36" s="3"/>
    </row>
    <row r="38" spans="1:35" x14ac:dyDescent="0.3">
      <c r="D38" s="4" cm="1">
        <f t="array" ref="D38:AI39">TRANSPOSE(D2:E33)</f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</row>
    <row r="39" spans="1:35" x14ac:dyDescent="0.3">
      <c r="D39" s="4">
        <v>2</v>
      </c>
      <c r="E39" s="4">
        <v>3</v>
      </c>
      <c r="F39" s="4">
        <v>4</v>
      </c>
      <c r="G39" s="4">
        <v>5</v>
      </c>
      <c r="H39" s="4">
        <v>6</v>
      </c>
      <c r="I39" s="4">
        <v>7</v>
      </c>
      <c r="J39" s="4">
        <v>8</v>
      </c>
      <c r="K39" s="4">
        <v>9</v>
      </c>
      <c r="L39" s="4">
        <v>10</v>
      </c>
      <c r="M39" s="4">
        <v>11</v>
      </c>
      <c r="N39" s="4">
        <v>12</v>
      </c>
      <c r="O39" s="4">
        <v>13</v>
      </c>
      <c r="P39" s="4">
        <v>14</v>
      </c>
      <c r="Q39" s="4">
        <v>15</v>
      </c>
      <c r="R39" s="4">
        <v>16</v>
      </c>
      <c r="S39" s="4">
        <v>17</v>
      </c>
      <c r="T39" s="4">
        <v>18</v>
      </c>
      <c r="U39" s="4">
        <v>19</v>
      </c>
      <c r="V39" s="4">
        <v>20</v>
      </c>
      <c r="W39" s="4">
        <v>21</v>
      </c>
      <c r="X39" s="4">
        <v>22</v>
      </c>
      <c r="Y39" s="4">
        <v>23</v>
      </c>
      <c r="Z39" s="4">
        <v>24</v>
      </c>
      <c r="AA39" s="4">
        <v>25</v>
      </c>
      <c r="AB39" s="4">
        <v>26</v>
      </c>
      <c r="AC39" s="4">
        <v>27</v>
      </c>
      <c r="AD39" s="4">
        <v>28</v>
      </c>
      <c r="AE39" s="4">
        <v>29</v>
      </c>
      <c r="AF39" s="4">
        <v>30</v>
      </c>
      <c r="AG39" s="4">
        <v>31</v>
      </c>
      <c r="AH39" s="4">
        <v>32</v>
      </c>
      <c r="AI39" s="4">
        <v>33</v>
      </c>
    </row>
    <row r="42" spans="1:35" x14ac:dyDescent="0.3">
      <c r="D42" cm="1">
        <f t="array" ref="D42:E43">MMULT(_xlfn.ANCHORARRAY(D38),D2:E33)</f>
        <v>32</v>
      </c>
      <c r="E42">
        <v>560</v>
      </c>
      <c r="G42" s="5" cm="1">
        <f t="array" ref="G42:H43">MINVERSE(_xlfn.ANCHORARRAY(D42))</f>
        <v>0.14351173020527863</v>
      </c>
      <c r="H42" s="5">
        <v>-6.4149560117302074E-3</v>
      </c>
    </row>
    <row r="43" spans="1:35" x14ac:dyDescent="0.3">
      <c r="D43">
        <v>560</v>
      </c>
      <c r="E43">
        <v>12528</v>
      </c>
      <c r="G43" s="5">
        <v>-6.4149560117302074E-3</v>
      </c>
      <c r="H43" s="5">
        <v>3.6656891495601184E-4</v>
      </c>
    </row>
    <row r="46" spans="1:35" x14ac:dyDescent="0.3">
      <c r="D46" cm="1">
        <f t="array" ref="D46:D47">MMULT(_xlfn.ANCHORARRAY(D38),B2:B33)</f>
        <v>1528155.1847520454</v>
      </c>
      <c r="H46" t="s">
        <v>16</v>
      </c>
      <c r="I46" s="7">
        <f>H35/(32-1-1)</f>
        <v>10245298.226580957</v>
      </c>
    </row>
    <row r="47" spans="1:35" x14ac:dyDescent="0.3">
      <c r="D47">
        <v>27320291.128051866</v>
      </c>
    </row>
    <row r="48" spans="1:35" x14ac:dyDescent="0.3">
      <c r="E48" t="s">
        <v>20</v>
      </c>
      <c r="F48" t="s">
        <v>21</v>
      </c>
      <c r="G48" t="s">
        <v>22</v>
      </c>
    </row>
    <row r="49" spans="3:36" x14ac:dyDescent="0.3">
      <c r="C49" t="s">
        <v>11</v>
      </c>
      <c r="D49" cm="1">
        <f t="array" ref="D49:D50">MMULT(_xlfn.ANCHORARRAY(G42),_xlfn.ANCHORARRAY(D46))</f>
        <v>44049.728771817492</v>
      </c>
      <c r="E49">
        <f>D54^0.5</f>
        <v>1212.5677197442235</v>
      </c>
      <c r="F49">
        <f>D49/E49</f>
        <v>36.32764426642435</v>
      </c>
      <c r="G49">
        <f>_xlfn.T.DIST.2T(F49,30)</f>
        <v>2.3313367855429669E-26</v>
      </c>
    </row>
    <row r="50" spans="3:36" x14ac:dyDescent="0.3">
      <c r="C50" t="s">
        <v>12</v>
      </c>
      <c r="D50">
        <v>211.72118581050927</v>
      </c>
      <c r="E50">
        <f>E55^0.5</f>
        <v>61.283014403001864</v>
      </c>
      <c r="F50">
        <f>D50/E50</f>
        <v>3.4548102418431035</v>
      </c>
      <c r="G50">
        <f>_xlfn.T.DIST.2T(F50,30)</f>
        <v>1.6646626428272781E-3</v>
      </c>
    </row>
    <row r="53" spans="3:36" x14ac:dyDescent="0.3">
      <c r="C53" t="s">
        <v>19</v>
      </c>
    </row>
    <row r="54" spans="3:36" x14ac:dyDescent="0.3">
      <c r="D54">
        <f>I46*G42</f>
        <v>1470320.474965706</v>
      </c>
      <c r="E54">
        <f>I46*H42</f>
        <v>-65723.137450574344</v>
      </c>
      <c r="H54" t="s">
        <v>17</v>
      </c>
      <c r="I54" s="12">
        <v>211.72118581050901</v>
      </c>
      <c r="J54" t="s">
        <v>53</v>
      </c>
    </row>
    <row r="55" spans="3:36" x14ac:dyDescent="0.3">
      <c r="D55">
        <f>I46*G43</f>
        <v>-65723.137450574344</v>
      </c>
      <c r="E55">
        <f>I46*H43</f>
        <v>3755.6078543185336</v>
      </c>
      <c r="H55" t="s">
        <v>18</v>
      </c>
      <c r="I55" s="11">
        <f>I54/B35</f>
        <v>4.4335012657995172E-3</v>
      </c>
      <c r="J55" t="s">
        <v>50</v>
      </c>
    </row>
    <row r="64" spans="3:36" x14ac:dyDescent="0.3"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E9FA-25E2-4594-A2C5-7B1BE023F5EF}">
  <dimension ref="A1:AJ64"/>
  <sheetViews>
    <sheetView topLeftCell="A22" zoomScaleNormal="100" workbookViewId="0"/>
  </sheetViews>
  <sheetFormatPr defaultRowHeight="14.4" x14ac:dyDescent="0.3"/>
  <cols>
    <col min="1" max="1" width="7" bestFit="1" customWidth="1"/>
    <col min="2" max="2" width="9" bestFit="1" customWidth="1"/>
    <col min="3" max="3" width="6.5546875" bestFit="1" customWidth="1"/>
    <col min="4" max="4" width="13.33203125" customWidth="1"/>
    <col min="5" max="5" width="16" customWidth="1"/>
    <col min="6" max="6" width="14.109375" customWidth="1"/>
    <col min="7" max="7" width="12.6640625" bestFit="1" customWidth="1"/>
    <col min="8" max="9" width="15.88671875" customWidth="1"/>
    <col min="10" max="10" width="15.5546875" bestFit="1" customWidth="1"/>
    <col min="11" max="11" width="14.21875" bestFit="1" customWidth="1"/>
    <col min="12" max="12" width="12.77734375" customWidth="1"/>
    <col min="13" max="13" width="12.6640625" customWidth="1"/>
    <col min="14" max="14" width="12.77734375" customWidth="1"/>
    <col min="15" max="16" width="12.6640625" bestFit="1" customWidth="1"/>
    <col min="17" max="36" width="3" bestFit="1" customWidth="1"/>
  </cols>
  <sheetData>
    <row r="1" spans="1:14" x14ac:dyDescent="0.3">
      <c r="A1" t="s">
        <v>0</v>
      </c>
      <c r="B1" t="s">
        <v>1</v>
      </c>
      <c r="F1" t="s">
        <v>13</v>
      </c>
      <c r="G1" t="s">
        <v>14</v>
      </c>
      <c r="H1" t="s">
        <v>15</v>
      </c>
      <c r="J1" t="s">
        <v>2</v>
      </c>
      <c r="K1" t="s">
        <v>3</v>
      </c>
      <c r="M1" t="s">
        <v>4</v>
      </c>
    </row>
    <row r="2" spans="1:14" x14ac:dyDescent="0.3">
      <c r="A2">
        <v>2017.1</v>
      </c>
      <c r="B2" s="6">
        <f>'[1]GVA - ceny stałe 2015 i 2024'!P90</f>
        <v>42947.211172552692</v>
      </c>
      <c r="C2" s="1"/>
      <c r="D2" s="2">
        <v>1</v>
      </c>
      <c r="E2" s="2">
        <v>2</v>
      </c>
      <c r="F2" s="1">
        <f>EXP($D$49)*E2^$D$50</f>
        <v>43490.362890018034</v>
      </c>
      <c r="G2" s="1">
        <f>B2-F2</f>
        <v>-543.15171746534179</v>
      </c>
      <c r="H2" s="1">
        <f>G2^2</f>
        <v>295013.78818555048</v>
      </c>
      <c r="I2" s="1"/>
      <c r="M2" t="s">
        <v>5</v>
      </c>
      <c r="N2" t="s">
        <v>6</v>
      </c>
    </row>
    <row r="3" spans="1:14" x14ac:dyDescent="0.3">
      <c r="A3">
        <v>2017.1999999999998</v>
      </c>
      <c r="B3" s="6">
        <f>'[1]GVA - ceny stałe 2015 i 2024'!P91</f>
        <v>45765.543870669237</v>
      </c>
      <c r="C3" s="1"/>
      <c r="D3" s="2">
        <v>1</v>
      </c>
      <c r="E3" s="2">
        <v>3</v>
      </c>
      <c r="F3" s="1">
        <f t="shared" ref="F3:F33" si="0">EXP($D$49)*E3^$D$50</f>
        <v>44311.135808514045</v>
      </c>
      <c r="G3" s="1">
        <f t="shared" ref="G3:G33" si="1">B3-F3</f>
        <v>1454.4080621551911</v>
      </c>
      <c r="H3" s="1">
        <f t="shared" ref="H3:H33" si="2">G3^2</f>
        <v>2115302.8112620185</v>
      </c>
      <c r="I3" s="1"/>
      <c r="J3">
        <f t="shared" ref="J3:J33" si="3">B3-B2</f>
        <v>2818.3326981165446</v>
      </c>
      <c r="K3">
        <f>J3-N4</f>
        <v>9.3445784002979053</v>
      </c>
      <c r="L3" t="s">
        <v>7</v>
      </c>
      <c r="M3">
        <f>AVERAGE(J2,J6,J10,,J14,J18,J22,J26,J30,B34)</f>
        <v>-3231.859739530536</v>
      </c>
      <c r="N3">
        <f>M3-$M$8</f>
        <v>-3412.4103436219939</v>
      </c>
    </row>
    <row r="4" spans="1:14" x14ac:dyDescent="0.3">
      <c r="A4">
        <v>2017.2999999999997</v>
      </c>
      <c r="B4" s="6">
        <f>'[1]GVA - ceny stałe 2015 i 2024'!P92</f>
        <v>49129.94546118634</v>
      </c>
      <c r="C4" s="1"/>
      <c r="D4" s="2">
        <v>1</v>
      </c>
      <c r="E4" s="2">
        <v>4</v>
      </c>
      <c r="F4" s="1">
        <f t="shared" si="0"/>
        <v>44902.860479408315</v>
      </c>
      <c r="G4" s="1">
        <f t="shared" si="1"/>
        <v>4227.0849817780254</v>
      </c>
      <c r="H4" s="1">
        <f t="shared" si="2"/>
        <v>17868247.44317333</v>
      </c>
      <c r="I4" s="1"/>
      <c r="J4">
        <f t="shared" si="3"/>
        <v>3364.4015905171036</v>
      </c>
      <c r="K4">
        <f>J4-N5</f>
        <v>-232.80956985110151</v>
      </c>
      <c r="L4" t="s">
        <v>8</v>
      </c>
      <c r="M4">
        <f>AVERAGE(J3,J7,J11,J15,J19,J23,J27,J31,J35)</f>
        <v>2989.5387238077046</v>
      </c>
      <c r="N4">
        <f t="shared" ref="N4:N6" si="4">M4-$M$8</f>
        <v>2808.9881197162467</v>
      </c>
    </row>
    <row r="5" spans="1:14" x14ac:dyDescent="0.3">
      <c r="A5">
        <v>2017.3999999999996</v>
      </c>
      <c r="B5" s="6">
        <f>'[1]GVA - ceny stałe 2015 i 2024'!P93</f>
        <v>46441.651601984864</v>
      </c>
      <c r="C5" s="1"/>
      <c r="D5" s="2">
        <v>1</v>
      </c>
      <c r="E5" s="2">
        <v>5</v>
      </c>
      <c r="F5" s="1">
        <f t="shared" si="0"/>
        <v>45367.273995987016</v>
      </c>
      <c r="G5" s="1">
        <f t="shared" si="1"/>
        <v>1074.3776059978481</v>
      </c>
      <c r="H5" s="1">
        <f t="shared" si="2"/>
        <v>1154287.2402696675</v>
      </c>
      <c r="I5" s="1"/>
      <c r="J5">
        <f t="shared" si="3"/>
        <v>-2688.2938592014762</v>
      </c>
      <c r="K5">
        <f>J5-N6</f>
        <v>305.49507726098091</v>
      </c>
      <c r="L5" t="s">
        <v>9</v>
      </c>
      <c r="M5">
        <f>AVERAGE(J4,J8,J12,,J16,J20,J24,J28,J32)</f>
        <v>3777.761764459663</v>
      </c>
      <c r="N5">
        <f t="shared" si="4"/>
        <v>3597.2111603682051</v>
      </c>
    </row>
    <row r="6" spans="1:14" x14ac:dyDescent="0.3">
      <c r="A6">
        <v>2018.1</v>
      </c>
      <c r="B6" s="6">
        <f>'[1]GVA - ceny stałe 2015 i 2024'!P94</f>
        <v>43493.633431363356</v>
      </c>
      <c r="C6" s="1"/>
      <c r="D6" s="2">
        <v>1</v>
      </c>
      <c r="E6" s="2">
        <v>6</v>
      </c>
      <c r="F6" s="1">
        <f t="shared" si="0"/>
        <v>45750.29079259529</v>
      </c>
      <c r="G6" s="1">
        <f t="shared" si="1"/>
        <v>-2256.6573612319335</v>
      </c>
      <c r="H6" s="1">
        <f t="shared" si="2"/>
        <v>5092502.4460022729</v>
      </c>
      <c r="I6" s="1"/>
      <c r="J6">
        <f t="shared" si="3"/>
        <v>-2948.018170621508</v>
      </c>
      <c r="K6">
        <f>J6-N3</f>
        <v>464.39217300048585</v>
      </c>
      <c r="L6" t="s">
        <v>10</v>
      </c>
      <c r="M6">
        <f>AVERAGE(J5,J9,J13,J17,J21,J25,J29,J33)</f>
        <v>-2813.2383323709992</v>
      </c>
      <c r="N6">
        <f t="shared" si="4"/>
        <v>-2993.7889364624571</v>
      </c>
    </row>
    <row r="7" spans="1:14" x14ac:dyDescent="0.3">
      <c r="A7">
        <v>2018.1999999999998</v>
      </c>
      <c r="B7" s="6">
        <f>'[1]GVA - ceny stałe 2015 i 2024'!P95</f>
        <v>46897.965426221235</v>
      </c>
      <c r="C7" s="1"/>
      <c r="D7" s="2">
        <v>1</v>
      </c>
      <c r="E7" s="2">
        <v>7</v>
      </c>
      <c r="F7" s="1">
        <f t="shared" si="0"/>
        <v>46076.648578466316</v>
      </c>
      <c r="G7" s="1">
        <f t="shared" si="1"/>
        <v>821.31684775491885</v>
      </c>
      <c r="H7" s="1">
        <f t="shared" si="2"/>
        <v>674561.36440607661</v>
      </c>
      <c r="I7" s="1"/>
      <c r="J7">
        <f t="shared" si="3"/>
        <v>3404.3319948578792</v>
      </c>
      <c r="K7">
        <f>J7-N4</f>
        <v>595.34387514163245</v>
      </c>
    </row>
    <row r="8" spans="1:14" x14ac:dyDescent="0.3">
      <c r="A8">
        <v>2018.2999999999997</v>
      </c>
      <c r="B8" s="6">
        <f>'[1]GVA - ceny stałe 2015 i 2024'!P96</f>
        <v>49690.737954007549</v>
      </c>
      <c r="C8" s="1"/>
      <c r="D8" s="2">
        <v>1</v>
      </c>
      <c r="E8" s="2">
        <v>8</v>
      </c>
      <c r="F8" s="1">
        <f t="shared" si="0"/>
        <v>46361.233736589158</v>
      </c>
      <c r="G8" s="1">
        <f t="shared" si="1"/>
        <v>3329.5042174183909</v>
      </c>
      <c r="H8" s="1">
        <f t="shared" si="2"/>
        <v>11085598.333806852</v>
      </c>
      <c r="I8" s="1"/>
      <c r="J8">
        <f t="shared" si="3"/>
        <v>2792.7725277863137</v>
      </c>
      <c r="K8">
        <f>J8-N5</f>
        <v>-804.4386325818914</v>
      </c>
      <c r="M8">
        <f>AVERAGE(M3:M6)</f>
        <v>180.55060409145813</v>
      </c>
      <c r="N8">
        <f>SUM(N3:N6)</f>
        <v>0</v>
      </c>
    </row>
    <row r="9" spans="1:14" x14ac:dyDescent="0.3">
      <c r="A9">
        <v>2018.3999999999996</v>
      </c>
      <c r="B9" s="6">
        <f>'[1]GVA - ceny stałe 2015 i 2024'!P97</f>
        <v>47382.784140871947</v>
      </c>
      <c r="C9" s="1"/>
      <c r="D9" s="2">
        <v>1</v>
      </c>
      <c r="E9" s="2">
        <v>9</v>
      </c>
      <c r="F9" s="1">
        <f t="shared" si="0"/>
        <v>46613.714254727369</v>
      </c>
      <c r="G9" s="1">
        <f t="shared" si="1"/>
        <v>769.06988614457805</v>
      </c>
      <c r="H9" s="1">
        <f t="shared" si="2"/>
        <v>591468.48977443425</v>
      </c>
      <c r="I9" s="1"/>
      <c r="J9">
        <f t="shared" si="3"/>
        <v>-2307.9538131356021</v>
      </c>
      <c r="K9">
        <f>J9-N6</f>
        <v>685.83512332685495</v>
      </c>
    </row>
    <row r="10" spans="1:14" x14ac:dyDescent="0.3">
      <c r="A10">
        <v>2019.1</v>
      </c>
      <c r="B10" s="6">
        <f>'[1]GVA - ceny stałe 2015 i 2024'!P98</f>
        <v>43867.612882047521</v>
      </c>
      <c r="C10" s="1"/>
      <c r="D10" s="2">
        <v>1</v>
      </c>
      <c r="E10" s="2">
        <v>10</v>
      </c>
      <c r="F10" s="1">
        <f t="shared" si="0"/>
        <v>46840.730663124828</v>
      </c>
      <c r="G10" s="1">
        <f t="shared" si="1"/>
        <v>-2973.1177810773079</v>
      </c>
      <c r="H10" s="1">
        <f t="shared" si="2"/>
        <v>8839429.3401580546</v>
      </c>
      <c r="I10" s="1"/>
      <c r="J10">
        <f t="shared" si="3"/>
        <v>-3515.1712588244263</v>
      </c>
      <c r="K10">
        <f>J10-N3</f>
        <v>-102.76091520243244</v>
      </c>
    </row>
    <row r="11" spans="1:14" x14ac:dyDescent="0.3">
      <c r="A11">
        <v>2019.1999999999998</v>
      </c>
      <c r="B11" s="6">
        <f>'[1]GVA - ceny stałe 2015 i 2024'!P99</f>
        <v>47970.314692057022</v>
      </c>
      <c r="C11" s="1"/>
      <c r="D11" s="2">
        <v>1</v>
      </c>
      <c r="E11" s="2">
        <v>11</v>
      </c>
      <c r="F11" s="1">
        <f t="shared" si="0"/>
        <v>47047.044278471818</v>
      </c>
      <c r="G11" s="1">
        <f t="shared" si="1"/>
        <v>923.27041358520364</v>
      </c>
      <c r="H11" s="1">
        <f t="shared" si="2"/>
        <v>852428.25660179299</v>
      </c>
      <c r="I11" s="1"/>
      <c r="J11">
        <f t="shared" si="3"/>
        <v>4102.7018100095011</v>
      </c>
      <c r="K11">
        <f>J11-N4</f>
        <v>1293.7136902932543</v>
      </c>
    </row>
    <row r="12" spans="1:14" x14ac:dyDescent="0.3">
      <c r="A12">
        <v>2019.2999999999997</v>
      </c>
      <c r="B12" s="6">
        <f>'[1]GVA - ceny stałe 2015 i 2024'!P100</f>
        <v>51163.569151284646</v>
      </c>
      <c r="C12" s="1"/>
      <c r="D12" s="2">
        <v>1</v>
      </c>
      <c r="E12" s="2">
        <v>12</v>
      </c>
      <c r="F12" s="1">
        <f t="shared" si="0"/>
        <v>47236.187234109624</v>
      </c>
      <c r="G12" s="1">
        <f t="shared" si="1"/>
        <v>3927.381917175022</v>
      </c>
      <c r="H12" s="1">
        <f t="shared" si="2"/>
        <v>15424328.723353351</v>
      </c>
      <c r="I12" s="1"/>
      <c r="J12">
        <f t="shared" si="3"/>
        <v>3193.2544592276245</v>
      </c>
      <c r="K12">
        <f>J12-N5</f>
        <v>-403.95670114058066</v>
      </c>
    </row>
    <row r="13" spans="1:14" x14ac:dyDescent="0.3">
      <c r="A13">
        <v>2019.3999999999996</v>
      </c>
      <c r="B13" s="6">
        <f>'[1]GVA - ceny stałe 2015 i 2024'!P101</f>
        <v>47785.150693167096</v>
      </c>
      <c r="C13" s="1"/>
      <c r="D13" s="2">
        <v>1</v>
      </c>
      <c r="E13" s="2">
        <v>13</v>
      </c>
      <c r="F13" s="1">
        <f t="shared" si="0"/>
        <v>47410.853312763858</v>
      </c>
      <c r="G13" s="1">
        <f t="shared" si="1"/>
        <v>374.29738040323718</v>
      </c>
      <c r="H13" s="1">
        <f t="shared" si="2"/>
        <v>140098.52897672565</v>
      </c>
      <c r="I13" s="1"/>
      <c r="J13">
        <f t="shared" si="3"/>
        <v>-3378.4184581175505</v>
      </c>
      <c r="K13">
        <f>J13-N6</f>
        <v>-384.62952165509341</v>
      </c>
    </row>
    <row r="14" spans="1:14" x14ac:dyDescent="0.3">
      <c r="A14">
        <v>2020.1</v>
      </c>
      <c r="B14" s="6">
        <f>'[1]GVA - ceny stałe 2015 i 2024'!P102</f>
        <v>42853.686862680821</v>
      </c>
      <c r="C14" s="1"/>
      <c r="D14" s="2">
        <v>1</v>
      </c>
      <c r="E14" s="2">
        <v>14</v>
      </c>
      <c r="F14" s="1">
        <f t="shared" si="0"/>
        <v>47573.144600098836</v>
      </c>
      <c r="G14" s="1">
        <f t="shared" si="1"/>
        <v>-4719.4577374180153</v>
      </c>
      <c r="H14" s="1">
        <f t="shared" si="2"/>
        <v>22273281.335274771</v>
      </c>
      <c r="I14" s="1"/>
      <c r="J14">
        <f t="shared" si="3"/>
        <v>-4931.4638304862747</v>
      </c>
      <c r="K14">
        <f>J14-N3</f>
        <v>-1519.0534868642808</v>
      </c>
    </row>
    <row r="15" spans="1:14" x14ac:dyDescent="0.3">
      <c r="A15">
        <v>2020.1999999999998</v>
      </c>
      <c r="B15" s="6">
        <f>'[1]GVA - ceny stałe 2015 i 2024'!P103</f>
        <v>40544.437372708206</v>
      </c>
      <c r="C15" s="1"/>
      <c r="D15" s="2">
        <v>1</v>
      </c>
      <c r="E15" s="2">
        <v>15</v>
      </c>
      <c r="F15" s="1">
        <f t="shared" si="0"/>
        <v>47724.733477911243</v>
      </c>
      <c r="G15" s="1">
        <f t="shared" si="1"/>
        <v>-7180.2961052030369</v>
      </c>
      <c r="H15" s="1">
        <f t="shared" si="2"/>
        <v>51556652.158393897</v>
      </c>
      <c r="I15" s="1"/>
      <c r="J15">
        <f t="shared" si="3"/>
        <v>-2309.2494899726153</v>
      </c>
      <c r="K15">
        <f>J15-N4</f>
        <v>-5118.237609688862</v>
      </c>
    </row>
    <row r="16" spans="1:14" x14ac:dyDescent="0.3">
      <c r="A16">
        <v>2020.2999999999997</v>
      </c>
      <c r="B16" s="6">
        <f>'[1]GVA - ceny stałe 2015 i 2024'!P104</f>
        <v>45910.541887611667</v>
      </c>
      <c r="C16" s="1"/>
      <c r="D16" s="2">
        <v>1</v>
      </c>
      <c r="E16" s="2">
        <v>16</v>
      </c>
      <c r="F16" s="1">
        <f t="shared" si="0"/>
        <v>47866.972630046897</v>
      </c>
      <c r="G16" s="1">
        <f t="shared" si="1"/>
        <v>-1956.4307424352301</v>
      </c>
      <c r="H16" s="1">
        <f t="shared" si="2"/>
        <v>3827621.2499456657</v>
      </c>
      <c r="I16" s="1"/>
      <c r="J16">
        <f t="shared" si="3"/>
        <v>5366.1045149034617</v>
      </c>
      <c r="K16">
        <f>J16-N5</f>
        <v>1768.8933545352565</v>
      </c>
    </row>
    <row r="17" spans="1:11" x14ac:dyDescent="0.3">
      <c r="A17">
        <v>2020.3999999999996</v>
      </c>
      <c r="B17" s="6">
        <f>'[1]GVA - ceny stałe 2015 i 2024'!P105</f>
        <v>44119.209766035354</v>
      </c>
      <c r="C17" s="1"/>
      <c r="D17" s="2">
        <v>1</v>
      </c>
      <c r="E17" s="2">
        <v>17</v>
      </c>
      <c r="F17" s="1">
        <f t="shared" si="0"/>
        <v>48000.971898817697</v>
      </c>
      <c r="G17" s="1">
        <f t="shared" si="1"/>
        <v>-3881.7621327823435</v>
      </c>
      <c r="H17" s="1">
        <f t="shared" si="2"/>
        <v>15068077.255502928</v>
      </c>
      <c r="I17" s="1"/>
      <c r="J17">
        <f t="shared" si="3"/>
        <v>-1791.3321215763135</v>
      </c>
      <c r="K17">
        <f>J17-N6</f>
        <v>1202.4568148861435</v>
      </c>
    </row>
    <row r="18" spans="1:11" x14ac:dyDescent="0.3">
      <c r="A18">
        <v>2021.1</v>
      </c>
      <c r="B18" s="6">
        <f>'[1]GVA - ceny stałe 2015 i 2024'!P106</f>
        <v>42176.401243331544</v>
      </c>
      <c r="C18" s="1"/>
      <c r="D18" s="2">
        <v>1</v>
      </c>
      <c r="E18" s="2">
        <v>18</v>
      </c>
      <c r="F18" s="1">
        <f t="shared" si="0"/>
        <v>48127.653312532784</v>
      </c>
      <c r="G18" s="1">
        <f t="shared" si="1"/>
        <v>-5951.2520692012404</v>
      </c>
      <c r="H18" s="1">
        <f t="shared" si="2"/>
        <v>35417401.191172048</v>
      </c>
      <c r="I18" s="1"/>
      <c r="J18">
        <f t="shared" si="3"/>
        <v>-1942.80852270381</v>
      </c>
      <c r="K18">
        <f>J18-N3</f>
        <v>1469.6018209181839</v>
      </c>
    </row>
    <row r="19" spans="1:11" x14ac:dyDescent="0.3">
      <c r="A19">
        <v>2021.1999999999998</v>
      </c>
      <c r="B19" s="6">
        <f>'[1]GVA - ceny stałe 2015 i 2024'!P107</f>
        <v>45747.993338967841</v>
      </c>
      <c r="C19" s="1"/>
      <c r="D19" s="2">
        <v>1</v>
      </c>
      <c r="E19" s="2">
        <v>19</v>
      </c>
      <c r="F19" s="1">
        <f t="shared" si="0"/>
        <v>48247.791333281733</v>
      </c>
      <c r="G19" s="1">
        <f t="shared" si="1"/>
        <v>-2499.7979943138926</v>
      </c>
      <c r="H19" s="1">
        <f t="shared" si="2"/>
        <v>6248990.0123757599</v>
      </c>
      <c r="I19" s="1"/>
      <c r="J19">
        <f t="shared" si="3"/>
        <v>3571.592095636297</v>
      </c>
      <c r="K19">
        <f>J19-N4</f>
        <v>762.60397592005029</v>
      </c>
    </row>
    <row r="20" spans="1:11" x14ac:dyDescent="0.3">
      <c r="A20">
        <v>2021.2999999999997</v>
      </c>
      <c r="B20" s="6">
        <f>'[1]GVA - ceny stałe 2015 i 2024'!P108</f>
        <v>51321.406147793867</v>
      </c>
      <c r="C20" s="1"/>
      <c r="D20" s="2">
        <v>1</v>
      </c>
      <c r="E20" s="2">
        <v>20</v>
      </c>
      <c r="F20" s="1">
        <f t="shared" si="0"/>
        <v>48362.042851626451</v>
      </c>
      <c r="G20" s="1">
        <f t="shared" si="1"/>
        <v>2959.3632961674157</v>
      </c>
      <c r="H20" s="1">
        <f t="shared" si="2"/>
        <v>8757831.1187028717</v>
      </c>
      <c r="I20" s="1"/>
      <c r="J20">
        <f t="shared" si="3"/>
        <v>5573.4128088260259</v>
      </c>
      <c r="K20">
        <f>J20-N5</f>
        <v>1976.2016484578207</v>
      </c>
    </row>
    <row r="21" spans="1:11" x14ac:dyDescent="0.3">
      <c r="A21">
        <v>2021.3999999999996</v>
      </c>
      <c r="B21" s="6">
        <f>'[1]GVA - ceny stałe 2015 i 2024'!P109</f>
        <v>48273.267494312036</v>
      </c>
      <c r="C21" s="1"/>
      <c r="D21" s="2">
        <v>1</v>
      </c>
      <c r="E21" s="2">
        <v>21</v>
      </c>
      <c r="F21" s="1">
        <f t="shared" si="0"/>
        <v>48470.969914507019</v>
      </c>
      <c r="G21" s="1">
        <f t="shared" si="1"/>
        <v>-197.70242019498255</v>
      </c>
      <c r="H21" s="1">
        <f t="shared" si="2"/>
        <v>39086.246950953442</v>
      </c>
      <c r="I21" s="1"/>
      <c r="J21">
        <f t="shared" si="3"/>
        <v>-3048.1386534818303</v>
      </c>
      <c r="K21">
        <f>J21-N6</f>
        <v>-54.349717019373202</v>
      </c>
    </row>
    <row r="22" spans="1:11" x14ac:dyDescent="0.3">
      <c r="A22">
        <v>2022.1</v>
      </c>
      <c r="B22" s="6">
        <f>'[1]GVA - ceny stałe 2015 i 2024'!P110</f>
        <v>44808.038688114408</v>
      </c>
      <c r="C22" s="1"/>
      <c r="D22" s="2">
        <v>1</v>
      </c>
      <c r="E22" s="2">
        <v>22</v>
      </c>
      <c r="F22" s="1">
        <f t="shared" si="0"/>
        <v>48575.057203986667</v>
      </c>
      <c r="G22" s="1">
        <f t="shared" si="1"/>
        <v>-3767.0185158722597</v>
      </c>
      <c r="H22" s="1">
        <f t="shared" si="2"/>
        <v>14190428.498924442</v>
      </c>
      <c r="I22" s="1"/>
      <c r="J22">
        <f t="shared" si="3"/>
        <v>-3465.2288061976287</v>
      </c>
      <c r="K22">
        <f>J22-N3</f>
        <v>-52.81846257563484</v>
      </c>
    </row>
    <row r="23" spans="1:11" x14ac:dyDescent="0.3">
      <c r="A23">
        <v>2022.1999999999998</v>
      </c>
      <c r="B23" s="6">
        <f>'[1]GVA - ceny stałe 2015 i 2024'!P111</f>
        <v>48741.006832474814</v>
      </c>
      <c r="C23" s="1"/>
      <c r="D23" s="2">
        <v>1</v>
      </c>
      <c r="E23" s="2">
        <v>23</v>
      </c>
      <c r="F23" s="1">
        <f t="shared" si="0"/>
        <v>48674.725659223041</v>
      </c>
      <c r="G23" s="1">
        <f t="shared" si="1"/>
        <v>66.281173251772998</v>
      </c>
      <c r="H23" s="1">
        <f t="shared" si="2"/>
        <v>4393.1939276315479</v>
      </c>
      <c r="I23" s="1"/>
      <c r="J23">
        <f t="shared" si="3"/>
        <v>3932.9681443604059</v>
      </c>
      <c r="K23">
        <f>J23-N4</f>
        <v>1123.9800246441591</v>
      </c>
    </row>
    <row r="24" spans="1:11" x14ac:dyDescent="0.3">
      <c r="A24">
        <v>2022.2999999999997</v>
      </c>
      <c r="B24" s="6">
        <f>'[1]GVA - ceny stałe 2015 i 2024'!P112</f>
        <v>53648.206169467885</v>
      </c>
      <c r="C24" s="1"/>
      <c r="D24" s="2">
        <v>1</v>
      </c>
      <c r="E24" s="2">
        <v>24</v>
      </c>
      <c r="F24" s="1">
        <f t="shared" si="0"/>
        <v>48770.343221009469</v>
      </c>
      <c r="G24" s="1">
        <f t="shared" si="1"/>
        <v>4877.8629484584162</v>
      </c>
      <c r="H24" s="1">
        <f t="shared" si="2"/>
        <v>23793546.943943433</v>
      </c>
      <c r="I24" s="1"/>
      <c r="J24">
        <f t="shared" si="3"/>
        <v>4907.1993369930715</v>
      </c>
      <c r="K24">
        <f>J24-N5</f>
        <v>1309.9881766248664</v>
      </c>
    </row>
    <row r="25" spans="1:11" x14ac:dyDescent="0.3">
      <c r="A25">
        <v>2022.3999999999996</v>
      </c>
      <c r="B25" s="6">
        <f>'[1]GVA - ceny stałe 2015 i 2024'!P113</f>
        <v>50252.119390845575</v>
      </c>
      <c r="C25" s="1"/>
      <c r="D25" s="2">
        <v>1</v>
      </c>
      <c r="E25" s="2">
        <v>25</v>
      </c>
      <c r="F25" s="1">
        <f t="shared" si="0"/>
        <v>48862.233399619567</v>
      </c>
      <c r="G25" s="1">
        <f t="shared" si="1"/>
        <v>1389.8859912260086</v>
      </c>
      <c r="H25" s="1">
        <f t="shared" si="2"/>
        <v>1931783.0686063045</v>
      </c>
      <c r="I25" s="1"/>
      <c r="J25">
        <f t="shared" si="3"/>
        <v>-3396.0867786223098</v>
      </c>
      <c r="K25">
        <f>J25-N6</f>
        <v>-402.29784215985273</v>
      </c>
    </row>
    <row r="26" spans="1:11" x14ac:dyDescent="0.3">
      <c r="A26">
        <v>2023.1</v>
      </c>
      <c r="B26" s="6">
        <f>'[1]GVA - ceny stałe 2015 i 2024'!P114</f>
        <v>46139.641110156772</v>
      </c>
      <c r="C26" s="1"/>
      <c r="D26" s="2">
        <v>1</v>
      </c>
      <c r="E26" s="2">
        <v>26</v>
      </c>
      <c r="F26" s="1">
        <f t="shared" si="0"/>
        <v>48950.682175184913</v>
      </c>
      <c r="G26" s="1">
        <f t="shared" si="1"/>
        <v>-2811.041065028141</v>
      </c>
      <c r="H26" s="1">
        <f t="shared" si="2"/>
        <v>7901951.8692745455</v>
      </c>
      <c r="I26" s="1"/>
      <c r="J26">
        <f t="shared" si="3"/>
        <v>-4112.4782806888034</v>
      </c>
      <c r="K26">
        <f>J26-N3</f>
        <v>-700.06793706680946</v>
      </c>
    </row>
    <row r="27" spans="1:11" x14ac:dyDescent="0.3">
      <c r="A27">
        <v>2023.1999999999998</v>
      </c>
      <c r="B27" s="6">
        <f>'[1]GVA - ceny stałe 2015 i 2024'!P115</f>
        <v>49919.483810142548</v>
      </c>
      <c r="C27" s="1"/>
      <c r="D27" s="2">
        <v>1</v>
      </c>
      <c r="E27" s="2">
        <v>27</v>
      </c>
      <c r="F27" s="1">
        <f t="shared" si="0"/>
        <v>49035.94360593841</v>
      </c>
      <c r="G27" s="1">
        <f t="shared" si="1"/>
        <v>883.54020420413872</v>
      </c>
      <c r="H27" s="1">
        <f t="shared" si="2"/>
        <v>780643.29244509118</v>
      </c>
      <c r="I27" s="1"/>
      <c r="J27">
        <f t="shared" si="3"/>
        <v>3779.8426999857766</v>
      </c>
      <c r="K27">
        <f>J27-N4</f>
        <v>970.85458026952983</v>
      </c>
    </row>
    <row r="28" spans="1:11" x14ac:dyDescent="0.3">
      <c r="A28">
        <v>2023.2999999999997</v>
      </c>
      <c r="B28" s="6">
        <f>'[1]GVA - ceny stałe 2015 i 2024'!P116</f>
        <v>54355.52793367525</v>
      </c>
      <c r="C28" s="1"/>
      <c r="D28" s="2">
        <v>1</v>
      </c>
      <c r="E28" s="2">
        <v>28</v>
      </c>
      <c r="F28" s="1">
        <f t="shared" si="0"/>
        <v>49118.244424565426</v>
      </c>
      <c r="G28" s="1">
        <f t="shared" si="1"/>
        <v>5237.2835091098241</v>
      </c>
      <c r="H28" s="1">
        <f t="shared" si="2"/>
        <v>27429138.554793712</v>
      </c>
      <c r="I28" s="1"/>
      <c r="J28">
        <f t="shared" si="3"/>
        <v>4436.0441235327016</v>
      </c>
      <c r="K28">
        <f>J28-N5</f>
        <v>838.8329631644965</v>
      </c>
    </row>
    <row r="29" spans="1:11" x14ac:dyDescent="0.3">
      <c r="A29">
        <v>2023.3999999999996</v>
      </c>
      <c r="B29" s="6">
        <f>'[1]GVA - ceny stałe 2015 i 2024'!P117</f>
        <v>51381.596226313428</v>
      </c>
      <c r="C29" s="1"/>
      <c r="D29" s="2">
        <v>1</v>
      </c>
      <c r="E29" s="2">
        <v>29</v>
      </c>
      <c r="F29" s="1">
        <f t="shared" si="0"/>
        <v>49197.787834404153</v>
      </c>
      <c r="G29" s="1">
        <f t="shared" si="1"/>
        <v>2183.8083919092751</v>
      </c>
      <c r="H29" s="1">
        <f t="shared" si="2"/>
        <v>4769019.0925733736</v>
      </c>
      <c r="I29" s="1"/>
      <c r="J29">
        <f t="shared" si="3"/>
        <v>-2973.9317073618222</v>
      </c>
      <c r="K29">
        <f>J29-N6</f>
        <v>19.857229100634868</v>
      </c>
    </row>
    <row r="30" spans="1:11" x14ac:dyDescent="0.3">
      <c r="A30">
        <v>2024.1</v>
      </c>
      <c r="B30" s="6">
        <f>'[1]GVA - ceny stałe 2015 i 2024'!P118</f>
        <v>46441.887179591591</v>
      </c>
      <c r="C30" s="1"/>
      <c r="D30" s="2">
        <v>1</v>
      </c>
      <c r="E30" s="2">
        <v>30</v>
      </c>
      <c r="F30" s="1">
        <f t="shared" si="0"/>
        <v>49274.756667239824</v>
      </c>
      <c r="G30" s="1">
        <f t="shared" si="1"/>
        <v>-2832.8694876482332</v>
      </c>
      <c r="H30" s="1">
        <f t="shared" si="2"/>
        <v>8025149.5340483636</v>
      </c>
      <c r="I30" s="1"/>
      <c r="J30">
        <f t="shared" si="3"/>
        <v>-4939.7090467218368</v>
      </c>
      <c r="K30">
        <f>J30-N3</f>
        <v>-1527.2987030998429</v>
      </c>
    </row>
    <row r="31" spans="1:11" x14ac:dyDescent="0.3">
      <c r="A31">
        <v>2024.1999999999998</v>
      </c>
      <c r="B31" s="6">
        <f>'[1]GVA - ceny stałe 2015 i 2024'!P119</f>
        <v>51057.677017059439</v>
      </c>
      <c r="C31" s="1"/>
      <c r="D31" s="2">
        <v>1</v>
      </c>
      <c r="E31" s="2">
        <v>31</v>
      </c>
      <c r="F31" s="1">
        <f t="shared" si="0"/>
        <v>49349.316027500303</v>
      </c>
      <c r="G31" s="1">
        <f t="shared" si="1"/>
        <v>1708.3609895591362</v>
      </c>
      <c r="H31" s="1">
        <f t="shared" si="2"/>
        <v>2918497.2706474713</v>
      </c>
      <c r="I31" s="1"/>
      <c r="J31">
        <f t="shared" si="3"/>
        <v>4615.789837467848</v>
      </c>
      <c r="K31">
        <f>J31-N4</f>
        <v>1806.8017177516012</v>
      </c>
    </row>
    <row r="32" spans="1:11" x14ac:dyDescent="0.3">
      <c r="A32">
        <v>2024.2999999999997</v>
      </c>
      <c r="B32" s="6">
        <f>'[1]GVA - ceny stałe 2015 i 2024'!P120</f>
        <v>55424.343535410102</v>
      </c>
      <c r="C32" s="1"/>
      <c r="D32" s="2">
        <v>1</v>
      </c>
      <c r="E32" s="2">
        <v>32</v>
      </c>
      <c r="F32" s="1">
        <f t="shared" si="0"/>
        <v>49421.615520066793</v>
      </c>
      <c r="G32" s="1">
        <f t="shared" si="1"/>
        <v>6002.7280153433094</v>
      </c>
      <c r="H32" s="1">
        <f t="shared" si="2"/>
        <v>36032743.626187429</v>
      </c>
      <c r="I32" s="1"/>
      <c r="J32">
        <f t="shared" si="3"/>
        <v>4366.666518350663</v>
      </c>
      <c r="K32">
        <f>J32-N5</f>
        <v>769.45535798245783</v>
      </c>
    </row>
    <row r="33" spans="1:35" x14ac:dyDescent="0.3">
      <c r="A33">
        <v>2024.3999999999996</v>
      </c>
      <c r="B33" s="6">
        <f>'[1]GVA - ceny stałe 2015 i 2024'!P121</f>
        <v>52502.592267939013</v>
      </c>
      <c r="C33" s="1"/>
      <c r="D33" s="2">
        <v>1</v>
      </c>
      <c r="E33" s="2">
        <v>33</v>
      </c>
      <c r="F33" s="1">
        <f t="shared" si="0"/>
        <v>49491.791138082626</v>
      </c>
      <c r="G33" s="1">
        <f t="shared" si="1"/>
        <v>3010.801129856387</v>
      </c>
      <c r="H33" s="1">
        <f t="shared" si="2"/>
        <v>9064923.4435444959</v>
      </c>
      <c r="I33" s="1"/>
      <c r="J33">
        <f t="shared" si="3"/>
        <v>-2921.7512674710888</v>
      </c>
      <c r="K33">
        <f>J33-N6</f>
        <v>72.037668991368264</v>
      </c>
    </row>
    <row r="34" spans="1:35" x14ac:dyDescent="0.3">
      <c r="A34" s="1"/>
    </row>
    <row r="35" spans="1:35" x14ac:dyDescent="0.3">
      <c r="B35" s="1">
        <f>AVERAGE(B2:B33)</f>
        <v>47754.84952350142</v>
      </c>
      <c r="C35" s="1"/>
      <c r="D35" s="1"/>
      <c r="E35" s="1"/>
      <c r="F35" s="1"/>
      <c r="G35" s="1"/>
      <c r="H35" s="1">
        <f>SUM(H2:H33)</f>
        <v>344164425.72320533</v>
      </c>
      <c r="I35" s="1"/>
    </row>
    <row r="36" spans="1:35" x14ac:dyDescent="0.3">
      <c r="D36" s="3"/>
      <c r="E36" s="3"/>
      <c r="F36" s="3"/>
      <c r="G36" s="3"/>
      <c r="H36" s="3"/>
      <c r="I36" s="3"/>
      <c r="J36" s="3"/>
      <c r="K36" s="3"/>
    </row>
    <row r="38" spans="1:35" x14ac:dyDescent="0.3">
      <c r="D38" s="4" cm="1">
        <f t="array" ref="D38:AI39">TRANSPOSE(D2:E33)</f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</row>
    <row r="39" spans="1:35" x14ac:dyDescent="0.3">
      <c r="D39" s="4">
        <v>2</v>
      </c>
      <c r="E39" s="4">
        <v>3</v>
      </c>
      <c r="F39" s="4">
        <v>4</v>
      </c>
      <c r="G39" s="4">
        <v>5</v>
      </c>
      <c r="H39" s="4">
        <v>6</v>
      </c>
      <c r="I39" s="4">
        <v>7</v>
      </c>
      <c r="J39" s="4">
        <v>8</v>
      </c>
      <c r="K39" s="4">
        <v>9</v>
      </c>
      <c r="L39" s="4">
        <v>10</v>
      </c>
      <c r="M39" s="4">
        <v>11</v>
      </c>
      <c r="N39" s="4">
        <v>12</v>
      </c>
      <c r="O39" s="4">
        <v>13</v>
      </c>
      <c r="P39" s="4">
        <v>14</v>
      </c>
      <c r="Q39" s="4">
        <v>15</v>
      </c>
      <c r="R39" s="4">
        <v>16</v>
      </c>
      <c r="S39" s="4">
        <v>17</v>
      </c>
      <c r="T39" s="4">
        <v>18</v>
      </c>
      <c r="U39" s="4">
        <v>19</v>
      </c>
      <c r="V39" s="4">
        <v>20</v>
      </c>
      <c r="W39" s="4">
        <v>21</v>
      </c>
      <c r="X39" s="4">
        <v>22</v>
      </c>
      <c r="Y39" s="4">
        <v>23</v>
      </c>
      <c r="Z39" s="4">
        <v>24</v>
      </c>
      <c r="AA39" s="4">
        <v>25</v>
      </c>
      <c r="AB39" s="4">
        <v>26</v>
      </c>
      <c r="AC39" s="4">
        <v>27</v>
      </c>
      <c r="AD39" s="4">
        <v>28</v>
      </c>
      <c r="AE39" s="4">
        <v>29</v>
      </c>
      <c r="AF39" s="4">
        <v>30</v>
      </c>
      <c r="AG39" s="4">
        <v>31</v>
      </c>
      <c r="AH39" s="4">
        <v>32</v>
      </c>
      <c r="AI39" s="4">
        <v>33</v>
      </c>
    </row>
    <row r="42" spans="1:35" x14ac:dyDescent="0.3">
      <c r="D42" cm="1">
        <f t="array" ref="D42:E43">MMULT(_xlfn.ANCHORARRAY(D38),D2:E33)</f>
        <v>32</v>
      </c>
      <c r="E42">
        <v>560</v>
      </c>
      <c r="G42" s="5" cm="1">
        <f t="array" ref="G42:H43">MINVERSE(_xlfn.ANCHORARRAY(D42))</f>
        <v>0.14351173020527863</v>
      </c>
      <c r="H42" s="5">
        <v>-6.4149560117302074E-3</v>
      </c>
    </row>
    <row r="43" spans="1:35" x14ac:dyDescent="0.3">
      <c r="D43">
        <v>560</v>
      </c>
      <c r="E43">
        <v>12528</v>
      </c>
      <c r="G43" s="5">
        <v>-6.4149560117302074E-3</v>
      </c>
      <c r="H43" s="5">
        <v>3.6656891495601184E-4</v>
      </c>
    </row>
    <row r="46" spans="1:35" x14ac:dyDescent="0.3">
      <c r="D46" cm="1">
        <f t="array" ref="D46:D47">MMULT(_xlfn.ANCHORARRAY(D38),B2:B33)</f>
        <v>1528155.1847520454</v>
      </c>
      <c r="H46" t="s">
        <v>16</v>
      </c>
      <c r="I46" s="7">
        <f>H35/(32-1-1)</f>
        <v>11472147.524106843</v>
      </c>
    </row>
    <row r="47" spans="1:35" x14ac:dyDescent="0.3">
      <c r="D47">
        <v>27320291.128051866</v>
      </c>
    </row>
    <row r="49" spans="3:36" x14ac:dyDescent="0.3">
      <c r="C49" t="s">
        <v>11</v>
      </c>
      <c r="D49">
        <v>10.648332520065681</v>
      </c>
    </row>
    <row r="50" spans="3:36" x14ac:dyDescent="0.3">
      <c r="C50" t="s">
        <v>12</v>
      </c>
      <c r="D50" s="13">
        <v>4.611160602694242E-2</v>
      </c>
    </row>
    <row r="51" spans="3:36" x14ac:dyDescent="0.3">
      <c r="D51" s="13"/>
    </row>
    <row r="53" spans="3:36" x14ac:dyDescent="0.3">
      <c r="C53" t="s">
        <v>19</v>
      </c>
    </row>
    <row r="54" spans="3:36" x14ac:dyDescent="0.3">
      <c r="D54">
        <f>I46*G42</f>
        <v>1646387.7403547766</v>
      </c>
      <c r="E54">
        <f>I46*H42</f>
        <v>-73593.321727225004</v>
      </c>
      <c r="H54" t="s">
        <v>17</v>
      </c>
      <c r="I54" s="12">
        <f>D50*B33/32</f>
        <v>75.655589064137416</v>
      </c>
      <c r="J54" t="s">
        <v>54</v>
      </c>
    </row>
    <row r="55" spans="3:36" x14ac:dyDescent="0.3">
      <c r="D55">
        <f>I46*G43</f>
        <v>-73593.321727225004</v>
      </c>
      <c r="E55">
        <f>I46*H43</f>
        <v>4205.3326701271435</v>
      </c>
      <c r="H55" t="s">
        <v>18</v>
      </c>
      <c r="I55" s="11">
        <f>D50/32</f>
        <v>1.4409876883419506E-3</v>
      </c>
      <c r="J55" t="s">
        <v>51</v>
      </c>
    </row>
    <row r="64" spans="3:36" x14ac:dyDescent="0.3"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617F-14EB-48D6-87F7-970A2CBBB199}">
  <dimension ref="A1:AJ64"/>
  <sheetViews>
    <sheetView topLeftCell="A34" workbookViewId="0"/>
  </sheetViews>
  <sheetFormatPr defaultRowHeight="14.4" x14ac:dyDescent="0.3"/>
  <cols>
    <col min="1" max="1" width="7" bestFit="1" customWidth="1"/>
    <col min="2" max="2" width="9" bestFit="1" customWidth="1"/>
    <col min="3" max="3" width="6.5546875" bestFit="1" customWidth="1"/>
    <col min="4" max="4" width="13.33203125" customWidth="1"/>
    <col min="5" max="5" width="16" customWidth="1"/>
    <col min="6" max="6" width="14.109375" customWidth="1"/>
    <col min="7" max="7" width="12.6640625" bestFit="1" customWidth="1"/>
    <col min="8" max="9" width="15.88671875" customWidth="1"/>
    <col min="10" max="10" width="15.5546875" bestFit="1" customWidth="1"/>
    <col min="11" max="11" width="14.21875" bestFit="1" customWidth="1"/>
    <col min="12" max="12" width="12.77734375" customWidth="1"/>
    <col min="13" max="13" width="12.6640625" customWidth="1"/>
    <col min="14" max="14" width="12.77734375" customWidth="1"/>
    <col min="15" max="16" width="12.6640625" bestFit="1" customWidth="1"/>
    <col min="17" max="36" width="3" bestFit="1" customWidth="1"/>
  </cols>
  <sheetData>
    <row r="1" spans="1:14" x14ac:dyDescent="0.3">
      <c r="A1" t="s">
        <v>0</v>
      </c>
      <c r="B1" t="s">
        <v>1</v>
      </c>
      <c r="F1" t="s">
        <v>13</v>
      </c>
      <c r="G1" t="s">
        <v>14</v>
      </c>
      <c r="H1" t="s">
        <v>15</v>
      </c>
      <c r="J1" t="s">
        <v>2</v>
      </c>
      <c r="K1" t="s">
        <v>3</v>
      </c>
      <c r="M1" t="s">
        <v>4</v>
      </c>
    </row>
    <row r="2" spans="1:14" x14ac:dyDescent="0.3">
      <c r="A2">
        <v>2017.1</v>
      </c>
      <c r="B2" s="6">
        <f>'[1]GVA - ceny stałe 2015 i 2024'!P90</f>
        <v>42947.211172552692</v>
      </c>
      <c r="C2" s="1"/>
      <c r="D2" s="2">
        <v>1</v>
      </c>
      <c r="E2" s="2">
        <v>2</v>
      </c>
      <c r="F2" s="1">
        <f>EXP($D$49+$D$50*E2)</f>
        <v>44511.250000810534</v>
      </c>
      <c r="G2" s="1">
        <f>B2-F2</f>
        <v>-1564.0388282578424</v>
      </c>
      <c r="H2" s="1">
        <f>G2^2</f>
        <v>2446217.4562981646</v>
      </c>
      <c r="I2" s="1"/>
      <c r="M2" t="s">
        <v>5</v>
      </c>
      <c r="N2" t="s">
        <v>6</v>
      </c>
    </row>
    <row r="3" spans="1:14" x14ac:dyDescent="0.3">
      <c r="A3">
        <v>2017.1999999999998</v>
      </c>
      <c r="B3" s="6">
        <f>'[1]GVA - ceny stałe 2015 i 2024'!P91</f>
        <v>45765.543870669237</v>
      </c>
      <c r="C3" s="1"/>
      <c r="D3" s="2">
        <v>1</v>
      </c>
      <c r="E3" s="2">
        <v>3</v>
      </c>
      <c r="F3" s="1">
        <f t="shared" ref="F3:F33" si="0">EXP($D$49+$D$50*E3)</f>
        <v>44705.216985048726</v>
      </c>
      <c r="G3" s="1">
        <f t="shared" ref="G3:G33" si="1">B3-F3</f>
        <v>1060.3268856205104</v>
      </c>
      <c r="H3" s="1">
        <f t="shared" ref="H3:H33" si="2">G3^2</f>
        <v>1124293.1043696911</v>
      </c>
      <c r="I3" s="1"/>
      <c r="J3">
        <f t="shared" ref="J3:J33" si="3">B3-B2</f>
        <v>2818.3326981165446</v>
      </c>
      <c r="K3">
        <f>J3-N4</f>
        <v>9.3445784002979053</v>
      </c>
      <c r="L3" t="s">
        <v>7</v>
      </c>
      <c r="M3">
        <f>AVERAGE(J2,J6,J10,,J14,J18,J22,J26,J30,B34)</f>
        <v>-3231.859739530536</v>
      </c>
      <c r="N3">
        <f>M3-$M$8</f>
        <v>-3412.4103436219939</v>
      </c>
    </row>
    <row r="4" spans="1:14" x14ac:dyDescent="0.3">
      <c r="A4">
        <v>2017.2999999999997</v>
      </c>
      <c r="B4" s="6">
        <f>'[1]GVA - ceny stałe 2015 i 2024'!P92</f>
        <v>49129.94546118634</v>
      </c>
      <c r="C4" s="1"/>
      <c r="D4" s="2">
        <v>1</v>
      </c>
      <c r="E4" s="2">
        <v>4</v>
      </c>
      <c r="F4" s="1">
        <f t="shared" si="0"/>
        <v>44900.029220565586</v>
      </c>
      <c r="G4" s="1">
        <f t="shared" si="1"/>
        <v>4229.9162406207543</v>
      </c>
      <c r="H4" s="1">
        <f t="shared" si="2"/>
        <v>17892191.402667213</v>
      </c>
      <c r="I4" s="1"/>
      <c r="J4">
        <f t="shared" si="3"/>
        <v>3364.4015905171036</v>
      </c>
      <c r="K4">
        <f>J4-N5</f>
        <v>-232.80956985110151</v>
      </c>
      <c r="L4" t="s">
        <v>8</v>
      </c>
      <c r="M4">
        <f>AVERAGE(J3,J7,J11,J15,J19,J23,J27,J31,J35)</f>
        <v>2989.5387238077046</v>
      </c>
      <c r="N4">
        <f t="shared" ref="N4:N6" si="4">M4-$M$8</f>
        <v>2808.9881197162467</v>
      </c>
    </row>
    <row r="5" spans="1:14" x14ac:dyDescent="0.3">
      <c r="A5">
        <v>2017.3999999999996</v>
      </c>
      <c r="B5" s="6">
        <f>'[1]GVA - ceny stałe 2015 i 2024'!P93</f>
        <v>46441.651601984864</v>
      </c>
      <c r="C5" s="1"/>
      <c r="D5" s="2">
        <v>1</v>
      </c>
      <c r="E5" s="2">
        <v>5</v>
      </c>
      <c r="F5" s="1">
        <f t="shared" si="0"/>
        <v>45095.69039071833</v>
      </c>
      <c r="G5" s="1">
        <f t="shared" si="1"/>
        <v>1345.9612112665345</v>
      </c>
      <c r="H5" s="1">
        <f t="shared" si="2"/>
        <v>1811611.5822340767</v>
      </c>
      <c r="I5" s="1"/>
      <c r="J5">
        <f t="shared" si="3"/>
        <v>-2688.2938592014762</v>
      </c>
      <c r="K5">
        <f>J5-N6</f>
        <v>305.49507726098091</v>
      </c>
      <c r="L5" t="s">
        <v>9</v>
      </c>
      <c r="M5">
        <f>AVERAGE(J4,J8,J12,,J16,J20,J24,J28,J32)</f>
        <v>3777.761764459663</v>
      </c>
      <c r="N5">
        <f t="shared" si="4"/>
        <v>3597.2111603682051</v>
      </c>
    </row>
    <row r="6" spans="1:14" x14ac:dyDescent="0.3">
      <c r="A6">
        <v>2018.1</v>
      </c>
      <c r="B6" s="6">
        <f>'[1]GVA - ceny stałe 2015 i 2024'!P94</f>
        <v>43493.633431363356</v>
      </c>
      <c r="C6" s="1"/>
      <c r="D6" s="2">
        <v>1</v>
      </c>
      <c r="E6" s="2">
        <v>6</v>
      </c>
      <c r="F6" s="1">
        <f t="shared" si="0"/>
        <v>45292.204194915503</v>
      </c>
      <c r="G6" s="1">
        <f t="shared" si="1"/>
        <v>-1798.5707635521467</v>
      </c>
      <c r="H6" s="1">
        <f t="shared" si="2"/>
        <v>3234856.7915045521</v>
      </c>
      <c r="I6" s="1"/>
      <c r="J6">
        <f t="shared" si="3"/>
        <v>-2948.018170621508</v>
      </c>
      <c r="K6">
        <f>J6-N3</f>
        <v>464.39217300048585</v>
      </c>
      <c r="L6" t="s">
        <v>10</v>
      </c>
      <c r="M6">
        <f>AVERAGE(J5,J9,J13,J17,J21,J25,J29,J33)</f>
        <v>-2813.2383323709992</v>
      </c>
      <c r="N6">
        <f t="shared" si="4"/>
        <v>-2993.7889364624571</v>
      </c>
    </row>
    <row r="7" spans="1:14" x14ac:dyDescent="0.3">
      <c r="A7">
        <v>2018.1999999999998</v>
      </c>
      <c r="B7" s="6">
        <f>'[1]GVA - ceny stałe 2015 i 2024'!P95</f>
        <v>46897.965426221235</v>
      </c>
      <c r="C7" s="1"/>
      <c r="D7" s="2">
        <v>1</v>
      </c>
      <c r="E7" s="2">
        <v>7</v>
      </c>
      <c r="F7" s="1">
        <f t="shared" si="0"/>
        <v>45489.574348686256</v>
      </c>
      <c r="G7" s="1">
        <f t="shared" si="1"/>
        <v>1408.3910775349796</v>
      </c>
      <c r="H7" s="1">
        <f t="shared" si="2"/>
        <v>1983565.4272801408</v>
      </c>
      <c r="I7" s="1"/>
      <c r="J7">
        <f t="shared" si="3"/>
        <v>3404.3319948578792</v>
      </c>
      <c r="K7">
        <f>J7-N4</f>
        <v>595.34387514163245</v>
      </c>
    </row>
    <row r="8" spans="1:14" x14ac:dyDescent="0.3">
      <c r="A8">
        <v>2018.2999999999997</v>
      </c>
      <c r="B8" s="6">
        <f>'[1]GVA - ceny stałe 2015 i 2024'!P96</f>
        <v>49690.737954007549</v>
      </c>
      <c r="C8" s="1"/>
      <c r="D8" s="2">
        <v>1</v>
      </c>
      <c r="E8" s="2">
        <v>8</v>
      </c>
      <c r="F8" s="1">
        <f t="shared" si="0"/>
        <v>45687.804583751247</v>
      </c>
      <c r="G8" s="1">
        <f t="shared" si="1"/>
        <v>4002.9333702563017</v>
      </c>
      <c r="H8" s="1">
        <f t="shared" si="2"/>
        <v>16023475.566711474</v>
      </c>
      <c r="I8" s="1"/>
      <c r="J8">
        <f t="shared" si="3"/>
        <v>2792.7725277863137</v>
      </c>
      <c r="K8">
        <f>J8-N5</f>
        <v>-804.4386325818914</v>
      </c>
      <c r="M8">
        <f>AVERAGE(M3:M6)</f>
        <v>180.55060409145813</v>
      </c>
      <c r="N8">
        <f>SUM(N3:N6)</f>
        <v>0</v>
      </c>
    </row>
    <row r="9" spans="1:14" x14ac:dyDescent="0.3">
      <c r="A9">
        <v>2018.3999999999996</v>
      </c>
      <c r="B9" s="6">
        <f>'[1]GVA - ceny stałe 2015 i 2024'!P97</f>
        <v>47382.784140871947</v>
      </c>
      <c r="C9" s="1"/>
      <c r="D9" s="2">
        <v>1</v>
      </c>
      <c r="E9" s="2">
        <v>9</v>
      </c>
      <c r="F9" s="1">
        <f t="shared" si="0"/>
        <v>45886.898648092574</v>
      </c>
      <c r="G9" s="1">
        <f t="shared" si="1"/>
        <v>1495.8854927793727</v>
      </c>
      <c r="H9" s="1">
        <f t="shared" si="2"/>
        <v>2237673.407507787</v>
      </c>
      <c r="I9" s="1"/>
      <c r="J9">
        <f t="shared" si="3"/>
        <v>-2307.9538131356021</v>
      </c>
      <c r="K9">
        <f>J9-N6</f>
        <v>685.83512332685495</v>
      </c>
    </row>
    <row r="10" spans="1:14" x14ac:dyDescent="0.3">
      <c r="A10">
        <v>2019.1</v>
      </c>
      <c r="B10" s="6">
        <f>'[1]GVA - ceny stałe 2015 i 2024'!P98</f>
        <v>43867.612882047521</v>
      </c>
      <c r="C10" s="1"/>
      <c r="D10" s="2">
        <v>1</v>
      </c>
      <c r="E10" s="2">
        <v>10</v>
      </c>
      <c r="F10" s="1">
        <f t="shared" si="0"/>
        <v>46086.86030602517</v>
      </c>
      <c r="G10" s="1">
        <f t="shared" si="1"/>
        <v>-2219.2474239776493</v>
      </c>
      <c r="H10" s="1">
        <f t="shared" si="2"/>
        <v>4925059.1288314322</v>
      </c>
      <c r="I10" s="1"/>
      <c r="J10">
        <f t="shared" si="3"/>
        <v>-3515.1712588244263</v>
      </c>
      <c r="K10">
        <f>J10-N3</f>
        <v>-102.76091520243244</v>
      </c>
    </row>
    <row r="11" spans="1:14" x14ac:dyDescent="0.3">
      <c r="A11">
        <v>2019.1999999999998</v>
      </c>
      <c r="B11" s="6">
        <f>'[1]GVA - ceny stałe 2015 i 2024'!P99</f>
        <v>47970.314692057022</v>
      </c>
      <c r="C11" s="1"/>
      <c r="D11" s="2">
        <v>1</v>
      </c>
      <c r="E11" s="2">
        <v>11</v>
      </c>
      <c r="F11" s="1">
        <f t="shared" si="0"/>
        <v>46287.693338267753</v>
      </c>
      <c r="G11" s="1">
        <f t="shared" si="1"/>
        <v>1682.6213537892691</v>
      </c>
      <c r="H11" s="1">
        <f t="shared" si="2"/>
        <v>2831214.6202276326</v>
      </c>
      <c r="I11" s="1"/>
      <c r="J11">
        <f t="shared" si="3"/>
        <v>4102.7018100095011</v>
      </c>
      <c r="K11">
        <f>J11-N4</f>
        <v>1293.7136902932543</v>
      </c>
    </row>
    <row r="12" spans="1:14" x14ac:dyDescent="0.3">
      <c r="A12">
        <v>2019.2999999999997</v>
      </c>
      <c r="B12" s="6">
        <f>'[1]GVA - ceny stałe 2015 i 2024'!P100</f>
        <v>51163.569151284646</v>
      </c>
      <c r="C12" s="1"/>
      <c r="D12" s="2">
        <v>1</v>
      </c>
      <c r="E12" s="2">
        <v>12</v>
      </c>
      <c r="F12" s="1">
        <f t="shared" si="0"/>
        <v>46489.401542014057</v>
      </c>
      <c r="G12" s="1">
        <f t="shared" si="1"/>
        <v>4674.1676092705893</v>
      </c>
      <c r="H12" s="1">
        <f t="shared" si="2"/>
        <v>21847842.839554336</v>
      </c>
      <c r="I12" s="1"/>
      <c r="J12">
        <f t="shared" si="3"/>
        <v>3193.2544592276245</v>
      </c>
      <c r="K12">
        <f>J12-N5</f>
        <v>-403.95670114058066</v>
      </c>
    </row>
    <row r="13" spans="1:14" x14ac:dyDescent="0.3">
      <c r="A13">
        <v>2019.3999999999996</v>
      </c>
      <c r="B13" s="6">
        <f>'[1]GVA - ceny stałe 2015 i 2024'!P101</f>
        <v>47785.150693167096</v>
      </c>
      <c r="C13" s="1"/>
      <c r="D13" s="2">
        <v>1</v>
      </c>
      <c r="E13" s="2">
        <v>13</v>
      </c>
      <c r="F13" s="1">
        <f t="shared" si="0"/>
        <v>46691.988731005207</v>
      </c>
      <c r="G13" s="1">
        <f t="shared" si="1"/>
        <v>1093.1619621618884</v>
      </c>
      <c r="H13" s="1">
        <f t="shared" si="2"/>
        <v>1195003.07551763</v>
      </c>
      <c r="I13" s="1"/>
      <c r="J13">
        <f t="shared" si="3"/>
        <v>-3378.4184581175505</v>
      </c>
      <c r="K13">
        <f>J13-N6</f>
        <v>-384.62952165509341</v>
      </c>
    </row>
    <row r="14" spans="1:14" x14ac:dyDescent="0.3">
      <c r="A14">
        <v>2020.1</v>
      </c>
      <c r="B14" s="6">
        <f>'[1]GVA - ceny stałe 2015 i 2024'!P102</f>
        <v>42853.686862680821</v>
      </c>
      <c r="C14" s="1"/>
      <c r="D14" s="2">
        <v>1</v>
      </c>
      <c r="E14" s="2">
        <v>14</v>
      </c>
      <c r="F14" s="1">
        <f t="shared" si="0"/>
        <v>46895.458735601169</v>
      </c>
      <c r="G14" s="1">
        <f t="shared" si="1"/>
        <v>-4041.771872920348</v>
      </c>
      <c r="H14" s="1">
        <f t="shared" si="2"/>
        <v>16335919.872730058</v>
      </c>
      <c r="I14" s="1"/>
      <c r="J14">
        <f t="shared" si="3"/>
        <v>-4931.4638304862747</v>
      </c>
      <c r="K14">
        <f>J14-N3</f>
        <v>-1519.0534868642808</v>
      </c>
    </row>
    <row r="15" spans="1:14" x14ac:dyDescent="0.3">
      <c r="A15">
        <v>2020.1999999999998</v>
      </c>
      <c r="B15" s="6">
        <f>'[1]GVA - ceny stałe 2015 i 2024'!P103</f>
        <v>40544.437372708206</v>
      </c>
      <c r="C15" s="1"/>
      <c r="D15" s="2">
        <v>1</v>
      </c>
      <c r="E15" s="2">
        <v>15</v>
      </c>
      <c r="F15" s="1">
        <f t="shared" si="0"/>
        <v>47099.815402853819</v>
      </c>
      <c r="G15" s="1">
        <f t="shared" si="1"/>
        <v>-6555.3780301456136</v>
      </c>
      <c r="H15" s="1">
        <f t="shared" si="2"/>
        <v>42972981.118115783</v>
      </c>
      <c r="I15" s="1"/>
      <c r="J15">
        <f t="shared" si="3"/>
        <v>-2309.2494899726153</v>
      </c>
      <c r="K15">
        <f>J15-N4</f>
        <v>-5118.237609688862</v>
      </c>
    </row>
    <row r="16" spans="1:14" x14ac:dyDescent="0.3">
      <c r="A16">
        <v>2020.2999999999997</v>
      </c>
      <c r="B16" s="6">
        <f>'[1]GVA - ceny stałe 2015 i 2024'!P104</f>
        <v>45910.541887611667</v>
      </c>
      <c r="C16" s="1"/>
      <c r="D16" s="2">
        <v>1</v>
      </c>
      <c r="E16" s="2">
        <v>16</v>
      </c>
      <c r="F16" s="1">
        <f t="shared" si="0"/>
        <v>47305.062596579017</v>
      </c>
      <c r="G16" s="1">
        <f t="shared" si="1"/>
        <v>-1394.5207089673495</v>
      </c>
      <c r="H16" s="1">
        <f t="shared" si="2"/>
        <v>1944688.0077387991</v>
      </c>
      <c r="I16" s="1"/>
      <c r="J16">
        <f t="shared" si="3"/>
        <v>5366.1045149034617</v>
      </c>
      <c r="K16">
        <f>J16-N5</f>
        <v>1768.8933545352565</v>
      </c>
    </row>
    <row r="17" spans="1:11" x14ac:dyDescent="0.3">
      <c r="A17">
        <v>2020.3999999999996</v>
      </c>
      <c r="B17" s="6">
        <f>'[1]GVA - ceny stałe 2015 i 2024'!P105</f>
        <v>44119.209766035354</v>
      </c>
      <c r="C17" s="1"/>
      <c r="D17" s="2">
        <v>1</v>
      </c>
      <c r="E17" s="2">
        <v>17</v>
      </c>
      <c r="F17" s="1">
        <f t="shared" si="0"/>
        <v>47511.204197430357</v>
      </c>
      <c r="G17" s="1">
        <f t="shared" si="1"/>
        <v>-3391.9944313950036</v>
      </c>
      <c r="H17" s="1">
        <f t="shared" si="2"/>
        <v>11505626.222614715</v>
      </c>
      <c r="I17" s="1"/>
      <c r="J17">
        <f t="shared" si="3"/>
        <v>-1791.3321215763135</v>
      </c>
      <c r="K17">
        <f>J17-N6</f>
        <v>1202.4568148861435</v>
      </c>
    </row>
    <row r="18" spans="1:11" x14ac:dyDescent="0.3">
      <c r="A18">
        <v>2021.1</v>
      </c>
      <c r="B18" s="6">
        <f>'[1]GVA - ceny stałe 2015 i 2024'!P106</f>
        <v>42176.401243331544</v>
      </c>
      <c r="C18" s="1"/>
      <c r="D18" s="2">
        <v>1</v>
      </c>
      <c r="E18" s="2">
        <v>18</v>
      </c>
      <c r="F18" s="1">
        <f t="shared" si="0"/>
        <v>47718.244102971832</v>
      </c>
      <c r="G18" s="1">
        <f t="shared" si="1"/>
        <v>-5541.8428596402882</v>
      </c>
      <c r="H18" s="1">
        <f t="shared" si="2"/>
        <v>30712022.280946046</v>
      </c>
      <c r="I18" s="1"/>
      <c r="J18">
        <f t="shared" si="3"/>
        <v>-1942.80852270381</v>
      </c>
      <c r="K18">
        <f>J18-N3</f>
        <v>1469.6018209181839</v>
      </c>
    </row>
    <row r="19" spans="1:11" x14ac:dyDescent="0.3">
      <c r="A19">
        <v>2021.1999999999998</v>
      </c>
      <c r="B19" s="6">
        <f>'[1]GVA - ceny stałe 2015 i 2024'!P107</f>
        <v>45747.993338967841</v>
      </c>
      <c r="C19" s="1"/>
      <c r="D19" s="2">
        <v>1</v>
      </c>
      <c r="E19" s="2">
        <v>19</v>
      </c>
      <c r="F19" s="1">
        <f t="shared" si="0"/>
        <v>47926.186227752129</v>
      </c>
      <c r="G19" s="1">
        <f t="shared" si="1"/>
        <v>-2178.1928887842878</v>
      </c>
      <c r="H19" s="1">
        <f t="shared" si="2"/>
        <v>4744524.2607504409</v>
      </c>
      <c r="I19" s="1"/>
      <c r="J19">
        <f t="shared" si="3"/>
        <v>3571.592095636297</v>
      </c>
      <c r="K19">
        <f>J19-N4</f>
        <v>762.60397592005029</v>
      </c>
    </row>
    <row r="20" spans="1:11" x14ac:dyDescent="0.3">
      <c r="A20">
        <v>2021.2999999999997</v>
      </c>
      <c r="B20" s="6">
        <f>'[1]GVA - ceny stałe 2015 i 2024'!P108</f>
        <v>51321.406147793867</v>
      </c>
      <c r="C20" s="1"/>
      <c r="D20" s="2">
        <v>1</v>
      </c>
      <c r="E20" s="2">
        <v>20</v>
      </c>
      <c r="F20" s="1">
        <f t="shared" si="0"/>
        <v>48135.034503378396</v>
      </c>
      <c r="G20" s="1">
        <f t="shared" si="1"/>
        <v>3186.3716444154707</v>
      </c>
      <c r="H20" s="1">
        <f t="shared" si="2"/>
        <v>10152964.256334951</v>
      </c>
      <c r="I20" s="1"/>
      <c r="J20">
        <f t="shared" si="3"/>
        <v>5573.4128088260259</v>
      </c>
      <c r="K20">
        <f>J20-N5</f>
        <v>1976.2016484578207</v>
      </c>
    </row>
    <row r="21" spans="1:11" x14ac:dyDescent="0.3">
      <c r="A21">
        <v>2021.3999999999996</v>
      </c>
      <c r="B21" s="6">
        <f>'[1]GVA - ceny stałe 2015 i 2024'!P109</f>
        <v>48273.267494312036</v>
      </c>
      <c r="C21" s="1"/>
      <c r="D21" s="2">
        <v>1</v>
      </c>
      <c r="E21" s="2">
        <v>21</v>
      </c>
      <c r="F21" s="1">
        <f t="shared" si="0"/>
        <v>48344.79287859032</v>
      </c>
      <c r="G21" s="1">
        <f t="shared" si="1"/>
        <v>-71.525384278284037</v>
      </c>
      <c r="H21" s="1">
        <f t="shared" si="2"/>
        <v>5115.8805961562011</v>
      </c>
      <c r="I21" s="1"/>
      <c r="J21">
        <f t="shared" si="3"/>
        <v>-3048.1386534818303</v>
      </c>
      <c r="K21">
        <f>J21-N6</f>
        <v>-54.349717019373202</v>
      </c>
    </row>
    <row r="22" spans="1:11" x14ac:dyDescent="0.3">
      <c r="A22">
        <v>2022.1</v>
      </c>
      <c r="B22" s="6">
        <f>'[1]GVA - ceny stałe 2015 i 2024'!P110</f>
        <v>44808.038688114408</v>
      </c>
      <c r="C22" s="1"/>
      <c r="D22" s="2">
        <v>1</v>
      </c>
      <c r="E22" s="2">
        <v>22</v>
      </c>
      <c r="F22" s="1">
        <f t="shared" si="0"/>
        <v>48555.465319335373</v>
      </c>
      <c r="G22" s="1">
        <f t="shared" si="1"/>
        <v>-3747.4266312209656</v>
      </c>
      <c r="H22" s="1">
        <f t="shared" si="2"/>
        <v>14043206.356384115</v>
      </c>
      <c r="I22" s="1"/>
      <c r="J22">
        <f t="shared" si="3"/>
        <v>-3465.2288061976287</v>
      </c>
      <c r="K22">
        <f>J22-N3</f>
        <v>-52.81846257563484</v>
      </c>
    </row>
    <row r="23" spans="1:11" x14ac:dyDescent="0.3">
      <c r="A23">
        <v>2022.1999999999998</v>
      </c>
      <c r="B23" s="6">
        <f>'[1]GVA - ceny stałe 2015 i 2024'!P111</f>
        <v>48741.006832474814</v>
      </c>
      <c r="C23" s="1"/>
      <c r="D23" s="2">
        <v>1</v>
      </c>
      <c r="E23" s="2">
        <v>23</v>
      </c>
      <c r="F23" s="1">
        <f t="shared" si="0"/>
        <v>48767.055808843135</v>
      </c>
      <c r="G23" s="1">
        <f t="shared" si="1"/>
        <v>-26.048976368321746</v>
      </c>
      <c r="H23" s="1">
        <f t="shared" si="2"/>
        <v>678.54916983738474</v>
      </c>
      <c r="I23" s="1"/>
      <c r="J23">
        <f t="shared" si="3"/>
        <v>3932.9681443604059</v>
      </c>
      <c r="K23">
        <f>J23-N4</f>
        <v>1123.9800246441591</v>
      </c>
    </row>
    <row r="24" spans="1:11" x14ac:dyDescent="0.3">
      <c r="A24">
        <v>2022.2999999999997</v>
      </c>
      <c r="B24" s="6">
        <f>'[1]GVA - ceny stałe 2015 i 2024'!P112</f>
        <v>53648.206169467885</v>
      </c>
      <c r="C24" s="1"/>
      <c r="D24" s="2">
        <v>1</v>
      </c>
      <c r="E24" s="2">
        <v>24</v>
      </c>
      <c r="F24" s="1">
        <f t="shared" si="0"/>
        <v>48979.568347701257</v>
      </c>
      <c r="G24" s="1">
        <f t="shared" si="1"/>
        <v>4668.6378217666279</v>
      </c>
      <c r="H24" s="1">
        <f t="shared" si="2"/>
        <v>21796179.110829845</v>
      </c>
      <c r="I24" s="1"/>
      <c r="J24">
        <f t="shared" si="3"/>
        <v>4907.1993369930715</v>
      </c>
      <c r="K24">
        <f>J24-N5</f>
        <v>1309.9881766248664</v>
      </c>
    </row>
    <row r="25" spans="1:11" x14ac:dyDescent="0.3">
      <c r="A25">
        <v>2022.3999999999996</v>
      </c>
      <c r="B25" s="6">
        <f>'[1]GVA - ceny stałe 2015 i 2024'!P113</f>
        <v>50252.119390845575</v>
      </c>
      <c r="C25" s="1"/>
      <c r="D25" s="2">
        <v>1</v>
      </c>
      <c r="E25" s="2">
        <v>25</v>
      </c>
      <c r="F25" s="1">
        <f t="shared" si="0"/>
        <v>49193.006953930453</v>
      </c>
      <c r="G25" s="1">
        <f t="shared" si="1"/>
        <v>1059.1124369151221</v>
      </c>
      <c r="H25" s="1">
        <f t="shared" si="2"/>
        <v>1121719.1540282886</v>
      </c>
      <c r="I25" s="1"/>
      <c r="J25">
        <f t="shared" si="3"/>
        <v>-3396.0867786223098</v>
      </c>
      <c r="K25">
        <f>J25-N6</f>
        <v>-402.29784215985273</v>
      </c>
    </row>
    <row r="26" spans="1:11" x14ac:dyDescent="0.3">
      <c r="A26">
        <v>2023.1</v>
      </c>
      <c r="B26" s="6">
        <f>'[1]GVA - ceny stałe 2015 i 2024'!P114</f>
        <v>46139.641110156772</v>
      </c>
      <c r="C26" s="1"/>
      <c r="D26" s="2">
        <v>1</v>
      </c>
      <c r="E26" s="2">
        <v>26</v>
      </c>
      <c r="F26" s="1">
        <f t="shared" si="0"/>
        <v>49407.375663061124</v>
      </c>
      <c r="G26" s="1">
        <f t="shared" si="1"/>
        <v>-3267.7345529043523</v>
      </c>
      <c r="H26" s="1">
        <f t="shared" si="2"/>
        <v>10678089.108245008</v>
      </c>
      <c r="I26" s="1"/>
      <c r="J26">
        <f t="shared" si="3"/>
        <v>-4112.4782806888034</v>
      </c>
      <c r="K26">
        <f>J26-N3</f>
        <v>-700.06793706680946</v>
      </c>
    </row>
    <row r="27" spans="1:11" x14ac:dyDescent="0.3">
      <c r="A27">
        <v>2023.1999999999998</v>
      </c>
      <c r="B27" s="6">
        <f>'[1]GVA - ceny stałe 2015 i 2024'!P115</f>
        <v>49919.483810142548</v>
      </c>
      <c r="C27" s="1"/>
      <c r="D27" s="2">
        <v>1</v>
      </c>
      <c r="E27" s="2">
        <v>27</v>
      </c>
      <c r="F27" s="1">
        <f t="shared" si="0"/>
        <v>49622.678528208991</v>
      </c>
      <c r="G27" s="1">
        <f t="shared" si="1"/>
        <v>296.80528193355713</v>
      </c>
      <c r="H27" s="1">
        <f t="shared" si="2"/>
        <v>88093.375383658335</v>
      </c>
      <c r="I27" s="1"/>
      <c r="J27">
        <f t="shared" si="3"/>
        <v>3779.8426999857766</v>
      </c>
      <c r="K27">
        <f>J27-N4</f>
        <v>970.85458026952983</v>
      </c>
    </row>
    <row r="28" spans="1:11" x14ac:dyDescent="0.3">
      <c r="A28">
        <v>2023.2999999999997</v>
      </c>
      <c r="B28" s="6">
        <f>'[1]GVA - ceny stałe 2015 i 2024'!P116</f>
        <v>54355.52793367525</v>
      </c>
      <c r="C28" s="1"/>
      <c r="D28" s="2">
        <v>1</v>
      </c>
      <c r="E28" s="2">
        <v>28</v>
      </c>
      <c r="F28" s="1">
        <f t="shared" si="0"/>
        <v>49838.91962015233</v>
      </c>
      <c r="G28" s="1">
        <f t="shared" si="1"/>
        <v>4516.6083135229201</v>
      </c>
      <c r="H28" s="1">
        <f t="shared" si="2"/>
        <v>20399750.657784358</v>
      </c>
      <c r="I28" s="1"/>
      <c r="J28">
        <f t="shared" si="3"/>
        <v>4436.0441235327016</v>
      </c>
      <c r="K28">
        <f>J28-N5</f>
        <v>838.8329631644965</v>
      </c>
    </row>
    <row r="29" spans="1:11" x14ac:dyDescent="0.3">
      <c r="A29">
        <v>2023.3999999999996</v>
      </c>
      <c r="B29" s="6">
        <f>'[1]GVA - ceny stałe 2015 i 2024'!P117</f>
        <v>51381.596226313428</v>
      </c>
      <c r="C29" s="1"/>
      <c r="D29" s="2">
        <v>1</v>
      </c>
      <c r="E29" s="2">
        <v>29</v>
      </c>
      <c r="F29" s="1">
        <f t="shared" si="0"/>
        <v>50056.103027408673</v>
      </c>
      <c r="G29" s="1">
        <f t="shared" si="1"/>
        <v>1325.4931989047545</v>
      </c>
      <c r="H29" s="1">
        <f t="shared" si="2"/>
        <v>1756932.2203427593</v>
      </c>
      <c r="I29" s="1"/>
      <c r="J29">
        <f t="shared" si="3"/>
        <v>-2973.9317073618222</v>
      </c>
      <c r="K29">
        <f>J29-N6</f>
        <v>19.857229100634868</v>
      </c>
    </row>
    <row r="30" spans="1:11" x14ac:dyDescent="0.3">
      <c r="A30">
        <v>2024.1</v>
      </c>
      <c r="B30" s="6">
        <f>'[1]GVA - ceny stałe 2015 i 2024'!P118</f>
        <v>46441.887179591591</v>
      </c>
      <c r="C30" s="1"/>
      <c r="D30" s="2">
        <v>1</v>
      </c>
      <c r="E30" s="2">
        <v>30</v>
      </c>
      <c r="F30" s="1">
        <f t="shared" si="0"/>
        <v>50274.232856311835</v>
      </c>
      <c r="G30" s="1">
        <f t="shared" si="1"/>
        <v>-3832.3456767202442</v>
      </c>
      <c r="H30" s="1">
        <f t="shared" si="2"/>
        <v>14686873.385876346</v>
      </c>
      <c r="I30" s="1"/>
      <c r="J30">
        <f t="shared" si="3"/>
        <v>-4939.7090467218368</v>
      </c>
      <c r="K30">
        <f>J30-N3</f>
        <v>-1527.2987030998429</v>
      </c>
    </row>
    <row r="31" spans="1:11" x14ac:dyDescent="0.3">
      <c r="A31">
        <v>2024.1999999999998</v>
      </c>
      <c r="B31" s="6">
        <f>'[1]GVA - ceny stałe 2015 i 2024'!P119</f>
        <v>51057.677017059439</v>
      </c>
      <c r="C31" s="1"/>
      <c r="D31" s="2">
        <v>1</v>
      </c>
      <c r="E31" s="2">
        <v>31</v>
      </c>
      <c r="F31" s="1">
        <f t="shared" si="0"/>
        <v>50493.313231090215</v>
      </c>
      <c r="G31" s="1">
        <f t="shared" si="1"/>
        <v>564.36378596922441</v>
      </c>
      <c r="H31" s="1">
        <f t="shared" si="2"/>
        <v>318506.48291351652</v>
      </c>
      <c r="I31" s="1"/>
      <c r="J31">
        <f t="shared" si="3"/>
        <v>4615.789837467848</v>
      </c>
      <c r="K31">
        <f>J31-N4</f>
        <v>1806.8017177516012</v>
      </c>
    </row>
    <row r="32" spans="1:11" x14ac:dyDescent="0.3">
      <c r="A32">
        <v>2024.2999999999997</v>
      </c>
      <c r="B32" s="6">
        <f>'[1]GVA - ceny stałe 2015 i 2024'!P120</f>
        <v>55424.343535410102</v>
      </c>
      <c r="C32" s="1"/>
      <c r="D32" s="2">
        <v>1</v>
      </c>
      <c r="E32" s="2">
        <v>32</v>
      </c>
      <c r="F32" s="1">
        <f t="shared" si="0"/>
        <v>50713.348293944007</v>
      </c>
      <c r="G32" s="1">
        <f t="shared" si="1"/>
        <v>4710.9952414660947</v>
      </c>
      <c r="H32" s="1">
        <f t="shared" si="2"/>
        <v>22193476.165116187</v>
      </c>
      <c r="I32" s="1"/>
      <c r="J32">
        <f t="shared" si="3"/>
        <v>4366.666518350663</v>
      </c>
      <c r="K32">
        <f>J32-N5</f>
        <v>769.45535798245783</v>
      </c>
    </row>
    <row r="33" spans="1:35" x14ac:dyDescent="0.3">
      <c r="A33">
        <v>2024.3999999999996</v>
      </c>
      <c r="B33" s="6">
        <f>'[1]GVA - ceny stałe 2015 i 2024'!P121</f>
        <v>52502.592267939013</v>
      </c>
      <c r="C33" s="1"/>
      <c r="D33" s="2">
        <v>1</v>
      </c>
      <c r="E33" s="2">
        <v>33</v>
      </c>
      <c r="F33" s="1">
        <f t="shared" si="0"/>
        <v>50934.342205124267</v>
      </c>
      <c r="G33" s="1">
        <f t="shared" si="1"/>
        <v>1568.2500628147463</v>
      </c>
      <c r="H33" s="1">
        <f t="shared" si="2"/>
        <v>2459408.2595184557</v>
      </c>
      <c r="I33" s="1"/>
      <c r="J33">
        <f t="shared" si="3"/>
        <v>-2921.7512674710888</v>
      </c>
      <c r="K33">
        <f>J33-N6</f>
        <v>72.037668991368264</v>
      </c>
    </row>
    <row r="34" spans="1:35" x14ac:dyDescent="0.3">
      <c r="A34" s="1"/>
    </row>
    <row r="35" spans="1:35" x14ac:dyDescent="0.3">
      <c r="B35" s="1">
        <f>AVERAGE(B2:B33)</f>
        <v>47754.84952350142</v>
      </c>
      <c r="C35" s="1"/>
      <c r="D35" s="1"/>
      <c r="E35" s="1"/>
      <c r="F35" s="1"/>
      <c r="G35" s="1"/>
      <c r="H35" s="1">
        <f>SUM(H2:H33)</f>
        <v>305469759.12812346</v>
      </c>
      <c r="I35" s="1"/>
    </row>
    <row r="36" spans="1:35" x14ac:dyDescent="0.3">
      <c r="D36" s="3"/>
      <c r="E36" s="3"/>
      <c r="F36" s="3"/>
      <c r="G36" s="3"/>
      <c r="H36" s="3"/>
      <c r="I36" s="3"/>
      <c r="J36" s="3"/>
      <c r="K36" s="3"/>
    </row>
    <row r="38" spans="1:35" x14ac:dyDescent="0.3">
      <c r="D38" s="4" cm="1">
        <f t="array" ref="D38:AI39">TRANSPOSE(D2:E33)</f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</row>
    <row r="39" spans="1:35" x14ac:dyDescent="0.3">
      <c r="D39" s="4">
        <v>2</v>
      </c>
      <c r="E39" s="4">
        <v>3</v>
      </c>
      <c r="F39" s="4">
        <v>4</v>
      </c>
      <c r="G39" s="4">
        <v>5</v>
      </c>
      <c r="H39" s="4">
        <v>6</v>
      </c>
      <c r="I39" s="4">
        <v>7</v>
      </c>
      <c r="J39" s="4">
        <v>8</v>
      </c>
      <c r="K39" s="4">
        <v>9</v>
      </c>
      <c r="L39" s="4">
        <v>10</v>
      </c>
      <c r="M39" s="4">
        <v>11</v>
      </c>
      <c r="N39" s="4">
        <v>12</v>
      </c>
      <c r="O39" s="4">
        <v>13</v>
      </c>
      <c r="P39" s="4">
        <v>14</v>
      </c>
      <c r="Q39" s="4">
        <v>15</v>
      </c>
      <c r="R39" s="4">
        <v>16</v>
      </c>
      <c r="S39" s="4">
        <v>17</v>
      </c>
      <c r="T39" s="4">
        <v>18</v>
      </c>
      <c r="U39" s="4">
        <v>19</v>
      </c>
      <c r="V39" s="4">
        <v>20</v>
      </c>
      <c r="W39" s="4">
        <v>21</v>
      </c>
      <c r="X39" s="4">
        <v>22</v>
      </c>
      <c r="Y39" s="4">
        <v>23</v>
      </c>
      <c r="Z39" s="4">
        <v>24</v>
      </c>
      <c r="AA39" s="4">
        <v>25</v>
      </c>
      <c r="AB39" s="4">
        <v>26</v>
      </c>
      <c r="AC39" s="4">
        <v>27</v>
      </c>
      <c r="AD39" s="4">
        <v>28</v>
      </c>
      <c r="AE39" s="4">
        <v>29</v>
      </c>
      <c r="AF39" s="4">
        <v>30</v>
      </c>
      <c r="AG39" s="4">
        <v>31</v>
      </c>
      <c r="AH39" s="4">
        <v>32</v>
      </c>
      <c r="AI39" s="4">
        <v>33</v>
      </c>
    </row>
    <row r="42" spans="1:35" x14ac:dyDescent="0.3">
      <c r="D42" cm="1">
        <f t="array" ref="D42:E43">MMULT(_xlfn.ANCHORARRAY(D38),D2:E33)</f>
        <v>32</v>
      </c>
      <c r="E42">
        <v>560</v>
      </c>
      <c r="G42" s="5" cm="1">
        <f t="array" ref="G42:H43">MINVERSE(_xlfn.ANCHORARRAY(D42))</f>
        <v>0.14351173020527863</v>
      </c>
      <c r="H42" s="5">
        <v>-6.4149560117302074E-3</v>
      </c>
    </row>
    <row r="43" spans="1:35" x14ac:dyDescent="0.3">
      <c r="D43">
        <v>560</v>
      </c>
      <c r="E43">
        <v>12528</v>
      </c>
      <c r="G43" s="5">
        <v>-6.4149560117302074E-3</v>
      </c>
      <c r="H43" s="5">
        <v>3.6656891495601184E-4</v>
      </c>
    </row>
    <row r="46" spans="1:35" x14ac:dyDescent="0.3">
      <c r="D46" cm="1">
        <f t="array" ref="D46:D47">MMULT(_xlfn.ANCHORARRAY(D38),B2:B33)</f>
        <v>1528155.1847520454</v>
      </c>
      <c r="H46" t="s">
        <v>16</v>
      </c>
      <c r="I46" s="7">
        <f>H35/(32-1-1)</f>
        <v>10182325.304270782</v>
      </c>
    </row>
    <row r="47" spans="1:35" x14ac:dyDescent="0.3">
      <c r="D47">
        <v>27320291.128051866</v>
      </c>
    </row>
    <row r="49" spans="3:36" x14ac:dyDescent="0.3">
      <c r="C49" t="s">
        <v>11</v>
      </c>
      <c r="D49">
        <v>10.694800765898755</v>
      </c>
      <c r="E49" s="13"/>
      <c r="F49" s="13"/>
      <c r="G49" s="13"/>
    </row>
    <row r="50" spans="3:36" x14ac:dyDescent="0.3">
      <c r="C50" t="s">
        <v>12</v>
      </c>
      <c r="D50" s="13">
        <v>4.3482396558712898E-3</v>
      </c>
      <c r="E50" s="13"/>
      <c r="F50" s="13"/>
      <c r="G50" s="13"/>
    </row>
    <row r="51" spans="3:36" x14ac:dyDescent="0.3">
      <c r="D51" s="13"/>
      <c r="E51" s="13"/>
      <c r="F51" s="13"/>
      <c r="G51" s="13"/>
    </row>
    <row r="52" spans="3:36" x14ac:dyDescent="0.3">
      <c r="E52" s="13"/>
      <c r="F52" s="13"/>
      <c r="G52" s="13"/>
    </row>
    <row r="53" spans="3:36" x14ac:dyDescent="0.3">
      <c r="C53" t="s">
        <v>19</v>
      </c>
    </row>
    <row r="54" spans="3:36" x14ac:dyDescent="0.3">
      <c r="D54">
        <f>I46*G42</f>
        <v>1461283.12192889</v>
      </c>
      <c r="E54">
        <f>I46*H42</f>
        <v>-65319.168924024467</v>
      </c>
      <c r="H54" t="s">
        <v>17</v>
      </c>
      <c r="I54" s="12">
        <f>D50*B33</f>
        <v>228.29385373549377</v>
      </c>
      <c r="J54" t="s">
        <v>55</v>
      </c>
    </row>
    <row r="55" spans="3:36" x14ac:dyDescent="0.3">
      <c r="D55">
        <f>I46*G43</f>
        <v>-65319.168924024467</v>
      </c>
      <c r="E55">
        <f>I46*H43</f>
        <v>3732.5239385156833</v>
      </c>
      <c r="H55" t="s">
        <v>18</v>
      </c>
      <c r="I55" s="11">
        <v>4.3482396558712898E-3</v>
      </c>
      <c r="J55" t="s">
        <v>56</v>
      </c>
    </row>
    <row r="64" spans="3:36" x14ac:dyDescent="0.3"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EA22-52AA-419A-9E86-6CF5CEEAF39E}">
  <dimension ref="A1:K64"/>
  <sheetViews>
    <sheetView workbookViewId="0"/>
  </sheetViews>
  <sheetFormatPr defaultRowHeight="14.4" x14ac:dyDescent="0.3"/>
  <cols>
    <col min="1" max="1" width="7" bestFit="1" customWidth="1"/>
    <col min="2" max="2" width="9" bestFit="1" customWidth="1"/>
    <col min="3" max="3" width="9.77734375" customWidth="1"/>
    <col min="4" max="4" width="16" customWidth="1"/>
    <col min="5" max="28" width="12.5546875" customWidth="1"/>
  </cols>
  <sheetData>
    <row r="1" spans="1:5" x14ac:dyDescent="0.3">
      <c r="A1" t="s">
        <v>0</v>
      </c>
      <c r="B1" t="s">
        <v>1</v>
      </c>
      <c r="C1" t="s">
        <v>23</v>
      </c>
      <c r="D1" t="s">
        <v>52</v>
      </c>
      <c r="E1" t="s">
        <v>24</v>
      </c>
    </row>
    <row r="2" spans="1:5" x14ac:dyDescent="0.3">
      <c r="A2">
        <v>2017.1</v>
      </c>
      <c r="B2" s="6">
        <f>'[1]GVA - ceny stałe 2015 i 2024'!P90</f>
        <v>42947.211172552692</v>
      </c>
      <c r="C2" s="1">
        <f>LN(B2)</f>
        <v>10.667726993349696</v>
      </c>
      <c r="D2" s="2">
        <v>2</v>
      </c>
      <c r="E2">
        <f>LN(D2)</f>
        <v>0.69314718055994529</v>
      </c>
    </row>
    <row r="3" spans="1:5" x14ac:dyDescent="0.3">
      <c r="A3">
        <v>2017.1999999999998</v>
      </c>
      <c r="B3" s="6">
        <f>'[1]GVA - ceny stałe 2015 i 2024'!P91</f>
        <v>45765.543870669237</v>
      </c>
      <c r="C3" s="1">
        <f t="shared" ref="C3:C33" si="0">LN(B3)</f>
        <v>10.731286769735357</v>
      </c>
      <c r="D3" s="2">
        <v>3</v>
      </c>
      <c r="E3">
        <f t="shared" ref="E3:E33" si="1">LN(D3)</f>
        <v>1.0986122886681098</v>
      </c>
    </row>
    <row r="4" spans="1:5" x14ac:dyDescent="0.3">
      <c r="A4">
        <v>2017.2999999999997</v>
      </c>
      <c r="B4" s="6">
        <f>'[1]GVA - ceny stałe 2015 i 2024'!P92</f>
        <v>49129.94546118634</v>
      </c>
      <c r="C4" s="1">
        <f t="shared" si="0"/>
        <v>10.802224015070205</v>
      </c>
      <c r="D4" s="2">
        <v>4</v>
      </c>
      <c r="E4">
        <f t="shared" si="1"/>
        <v>1.3862943611198906</v>
      </c>
    </row>
    <row r="5" spans="1:5" x14ac:dyDescent="0.3">
      <c r="A5">
        <v>2017.3999999999996</v>
      </c>
      <c r="B5" s="6">
        <f>'[1]GVA - ceny stałe 2015 i 2024'!P93</f>
        <v>46441.651601984864</v>
      </c>
      <c r="C5" s="1">
        <f t="shared" si="0"/>
        <v>10.745951999390996</v>
      </c>
      <c r="D5" s="2">
        <v>5</v>
      </c>
      <c r="E5">
        <f t="shared" si="1"/>
        <v>1.6094379124341003</v>
      </c>
    </row>
    <row r="6" spans="1:5" x14ac:dyDescent="0.3">
      <c r="A6">
        <v>2018.1</v>
      </c>
      <c r="B6" s="6">
        <f>'[1]GVA - ceny stałe 2015 i 2024'!P94</f>
        <v>43493.633431363356</v>
      </c>
      <c r="C6" s="1">
        <f t="shared" si="0"/>
        <v>10.68036984846572</v>
      </c>
      <c r="D6" s="2">
        <v>6</v>
      </c>
      <c r="E6">
        <f t="shared" si="1"/>
        <v>1.791759469228055</v>
      </c>
    </row>
    <row r="7" spans="1:5" x14ac:dyDescent="0.3">
      <c r="A7">
        <v>2018.1999999999998</v>
      </c>
      <c r="B7" s="6">
        <f>'[1]GVA - ceny stałe 2015 i 2024'!P95</f>
        <v>46897.965426221235</v>
      </c>
      <c r="C7" s="1">
        <f t="shared" si="0"/>
        <v>10.755729572389358</v>
      </c>
      <c r="D7" s="2">
        <v>7</v>
      </c>
      <c r="E7">
        <f t="shared" si="1"/>
        <v>1.9459101490553132</v>
      </c>
    </row>
    <row r="8" spans="1:5" x14ac:dyDescent="0.3">
      <c r="A8">
        <v>2018.2999999999997</v>
      </c>
      <c r="B8" s="6">
        <f>'[1]GVA - ceny stałe 2015 i 2024'!P96</f>
        <v>49690.737954007549</v>
      </c>
      <c r="C8" s="1">
        <f t="shared" si="0"/>
        <v>10.813573835643416</v>
      </c>
      <c r="D8" s="2">
        <v>8</v>
      </c>
      <c r="E8">
        <f t="shared" si="1"/>
        <v>2.0794415416798357</v>
      </c>
    </row>
    <row r="9" spans="1:5" x14ac:dyDescent="0.3">
      <c r="A9">
        <v>2018.3999999999996</v>
      </c>
      <c r="B9" s="6">
        <f>'[1]GVA - ceny stałe 2015 i 2024'!P97</f>
        <v>47382.784140871947</v>
      </c>
      <c r="C9" s="1">
        <f t="shared" si="0"/>
        <v>10.766014237929626</v>
      </c>
      <c r="D9" s="2">
        <v>9</v>
      </c>
      <c r="E9">
        <f t="shared" si="1"/>
        <v>2.1972245773362196</v>
      </c>
    </row>
    <row r="10" spans="1:5" x14ac:dyDescent="0.3">
      <c r="A10">
        <v>2019.1</v>
      </c>
      <c r="B10" s="6">
        <f>'[1]GVA - ceny stałe 2015 i 2024'!P98</f>
        <v>43867.612882047521</v>
      </c>
      <c r="C10" s="1">
        <f t="shared" si="0"/>
        <v>10.688931579232051</v>
      </c>
      <c r="D10" s="2">
        <v>10</v>
      </c>
      <c r="E10">
        <f t="shared" si="1"/>
        <v>2.3025850929940459</v>
      </c>
    </row>
    <row r="11" spans="1:5" x14ac:dyDescent="0.3">
      <c r="A11">
        <v>2019.1999999999998</v>
      </c>
      <c r="B11" s="6">
        <f>'[1]GVA - ceny stałe 2015 i 2024'!P99</f>
        <v>47970.314692057022</v>
      </c>
      <c r="C11" s="1">
        <f t="shared" si="0"/>
        <v>10.778337654659229</v>
      </c>
      <c r="D11" s="2">
        <v>11</v>
      </c>
      <c r="E11">
        <f t="shared" si="1"/>
        <v>2.3978952727983707</v>
      </c>
    </row>
    <row r="12" spans="1:5" x14ac:dyDescent="0.3">
      <c r="A12">
        <v>2019.2999999999997</v>
      </c>
      <c r="B12" s="6">
        <f>'[1]GVA - ceny stałe 2015 i 2024'!P100</f>
        <v>51163.569151284646</v>
      </c>
      <c r="C12" s="1">
        <f t="shared" si="0"/>
        <v>10.842783017748886</v>
      </c>
      <c r="D12" s="2">
        <v>12</v>
      </c>
      <c r="E12">
        <f t="shared" si="1"/>
        <v>2.4849066497880004</v>
      </c>
    </row>
    <row r="13" spans="1:5" x14ac:dyDescent="0.3">
      <c r="A13">
        <v>2019.3999999999996</v>
      </c>
      <c r="B13" s="6">
        <f>'[1]GVA - ceny stałe 2015 i 2024'!P101</f>
        <v>47785.150693167096</v>
      </c>
      <c r="C13" s="1">
        <f t="shared" si="0"/>
        <v>10.774470215261639</v>
      </c>
      <c r="D13" s="2">
        <v>13</v>
      </c>
      <c r="E13">
        <f t="shared" si="1"/>
        <v>2.5649493574615367</v>
      </c>
    </row>
    <row r="14" spans="1:5" x14ac:dyDescent="0.3">
      <c r="A14">
        <v>2020.1</v>
      </c>
      <c r="B14" s="6">
        <f>'[1]GVA - ceny stałe 2015 i 2024'!P102</f>
        <v>42853.686862680821</v>
      </c>
      <c r="C14" s="1">
        <f t="shared" si="0"/>
        <v>10.665546961460675</v>
      </c>
      <c r="D14" s="2">
        <v>14</v>
      </c>
      <c r="E14">
        <f t="shared" si="1"/>
        <v>2.6390573296152584</v>
      </c>
    </row>
    <row r="15" spans="1:5" x14ac:dyDescent="0.3">
      <c r="A15">
        <v>2020.1999999999998</v>
      </c>
      <c r="B15" s="6">
        <f>'[1]GVA - ceny stałe 2015 i 2024'!P103</f>
        <v>40544.437372708206</v>
      </c>
      <c r="C15" s="1">
        <f t="shared" si="0"/>
        <v>10.61015387066894</v>
      </c>
      <c r="D15" s="2">
        <v>15</v>
      </c>
      <c r="E15">
        <f t="shared" si="1"/>
        <v>2.7080502011022101</v>
      </c>
    </row>
    <row r="16" spans="1:5" x14ac:dyDescent="0.3">
      <c r="A16">
        <v>2020.2999999999997</v>
      </c>
      <c r="B16" s="6">
        <f>'[1]GVA - ceny stałe 2015 i 2024'!P104</f>
        <v>45910.541887611667</v>
      </c>
      <c r="C16" s="1">
        <f t="shared" si="0"/>
        <v>10.734450040432414</v>
      </c>
      <c r="D16" s="2">
        <v>16</v>
      </c>
      <c r="E16">
        <f t="shared" si="1"/>
        <v>2.7725887222397811</v>
      </c>
    </row>
    <row r="17" spans="1:5" x14ac:dyDescent="0.3">
      <c r="A17">
        <v>2020.3999999999996</v>
      </c>
      <c r="B17" s="6">
        <f>'[1]GVA - ceny stałe 2015 i 2024'!P105</f>
        <v>44119.209766035354</v>
      </c>
      <c r="C17" s="1">
        <f t="shared" si="0"/>
        <v>10.694650562192423</v>
      </c>
      <c r="D17" s="2">
        <v>17</v>
      </c>
      <c r="E17">
        <f t="shared" si="1"/>
        <v>2.8332133440562162</v>
      </c>
    </row>
    <row r="18" spans="1:5" x14ac:dyDescent="0.3">
      <c r="A18">
        <v>2021.1</v>
      </c>
      <c r="B18" s="6">
        <f>'[1]GVA - ceny stałe 2015 i 2024'!P106</f>
        <v>42176.401243331544</v>
      </c>
      <c r="C18" s="1">
        <f t="shared" si="0"/>
        <v>10.649616131363292</v>
      </c>
      <c r="D18" s="2">
        <v>18</v>
      </c>
      <c r="E18">
        <f t="shared" si="1"/>
        <v>2.8903717578961645</v>
      </c>
    </row>
    <row r="19" spans="1:5" x14ac:dyDescent="0.3">
      <c r="A19">
        <v>2021.1999999999998</v>
      </c>
      <c r="B19" s="6">
        <f>'[1]GVA - ceny stałe 2015 i 2024'!P107</f>
        <v>45747.993338967841</v>
      </c>
      <c r="C19" s="1">
        <f t="shared" si="0"/>
        <v>10.7309032082984</v>
      </c>
      <c r="D19" s="2">
        <v>19</v>
      </c>
      <c r="E19">
        <f t="shared" si="1"/>
        <v>2.9444389791664403</v>
      </c>
    </row>
    <row r="20" spans="1:5" x14ac:dyDescent="0.3">
      <c r="A20">
        <v>2021.2999999999997</v>
      </c>
      <c r="B20" s="6">
        <f>'[1]GVA - ceny stałe 2015 i 2024'!P108</f>
        <v>51321.406147793867</v>
      </c>
      <c r="C20" s="1">
        <f t="shared" si="0"/>
        <v>10.845863217960481</v>
      </c>
      <c r="D20" s="2">
        <v>20</v>
      </c>
      <c r="E20">
        <f t="shared" si="1"/>
        <v>2.9957322735539909</v>
      </c>
    </row>
    <row r="21" spans="1:5" x14ac:dyDescent="0.3">
      <c r="A21">
        <v>2021.3999999999996</v>
      </c>
      <c r="B21" s="6">
        <f>'[1]GVA - ceny stałe 2015 i 2024'!P109</f>
        <v>48273.267494312036</v>
      </c>
      <c r="C21" s="1">
        <f t="shared" si="0"/>
        <v>10.784633218394033</v>
      </c>
      <c r="D21" s="2">
        <v>21</v>
      </c>
      <c r="E21">
        <f t="shared" si="1"/>
        <v>3.044522437723423</v>
      </c>
    </row>
    <row r="22" spans="1:5" x14ac:dyDescent="0.3">
      <c r="A22">
        <v>2022.1</v>
      </c>
      <c r="B22" s="6">
        <f>'[1]GVA - ceny stałe 2015 i 2024'!P110</f>
        <v>44808.038688114408</v>
      </c>
      <c r="C22" s="1">
        <f t="shared" si="0"/>
        <v>10.710142837309096</v>
      </c>
      <c r="D22" s="2">
        <v>22</v>
      </c>
      <c r="E22">
        <f t="shared" si="1"/>
        <v>3.0910424533583161</v>
      </c>
    </row>
    <row r="23" spans="1:5" x14ac:dyDescent="0.3">
      <c r="A23">
        <v>2022.1999999999998</v>
      </c>
      <c r="B23" s="6">
        <f>'[1]GVA - ceny stałe 2015 i 2024'!P111</f>
        <v>48741.006832474814</v>
      </c>
      <c r="C23" s="1">
        <f t="shared" si="0"/>
        <v>10.794275984177059</v>
      </c>
      <c r="D23" s="2">
        <v>23</v>
      </c>
      <c r="E23">
        <f t="shared" si="1"/>
        <v>3.1354942159291497</v>
      </c>
    </row>
    <row r="24" spans="1:5" x14ac:dyDescent="0.3">
      <c r="A24">
        <v>2022.2999999999997</v>
      </c>
      <c r="B24" s="6">
        <f>'[1]GVA - ceny stałe 2015 i 2024'!P112</f>
        <v>53648.206169467885</v>
      </c>
      <c r="C24" s="1">
        <f t="shared" si="0"/>
        <v>10.890203311702425</v>
      </c>
      <c r="D24" s="2">
        <v>24</v>
      </c>
      <c r="E24">
        <f t="shared" si="1"/>
        <v>3.1780538303479458</v>
      </c>
    </row>
    <row r="25" spans="1:5" x14ac:dyDescent="0.3">
      <c r="A25">
        <v>2022.3999999999996</v>
      </c>
      <c r="B25" s="6">
        <f>'[1]GVA - ceny stałe 2015 i 2024'!P113</f>
        <v>50252.119390845575</v>
      </c>
      <c r="C25" s="1">
        <f t="shared" si="0"/>
        <v>10.824808001964151</v>
      </c>
      <c r="D25" s="2">
        <v>25</v>
      </c>
      <c r="E25">
        <f t="shared" si="1"/>
        <v>3.2188758248682006</v>
      </c>
    </row>
    <row r="26" spans="1:5" x14ac:dyDescent="0.3">
      <c r="A26">
        <v>2023.1</v>
      </c>
      <c r="B26" s="6">
        <f>'[1]GVA - ceny stałe 2015 i 2024'!P114</f>
        <v>46139.641110156772</v>
      </c>
      <c r="C26" s="1">
        <f t="shared" si="0"/>
        <v>10.739427753417406</v>
      </c>
      <c r="D26" s="2">
        <v>26</v>
      </c>
      <c r="E26">
        <f t="shared" si="1"/>
        <v>3.2580965380214821</v>
      </c>
    </row>
    <row r="27" spans="1:5" x14ac:dyDescent="0.3">
      <c r="A27">
        <v>2023.1999999999998</v>
      </c>
      <c r="B27" s="6">
        <f>'[1]GVA - ceny stałe 2015 i 2024'!P115</f>
        <v>49919.483810142548</v>
      </c>
      <c r="C27" s="1">
        <f t="shared" si="0"/>
        <v>10.818166662648151</v>
      </c>
      <c r="D27" s="2">
        <v>27</v>
      </c>
      <c r="E27">
        <f t="shared" si="1"/>
        <v>3.2958368660043291</v>
      </c>
    </row>
    <row r="28" spans="1:5" x14ac:dyDescent="0.3">
      <c r="A28">
        <v>2023.2999999999997</v>
      </c>
      <c r="B28" s="6">
        <f>'[1]GVA - ceny stałe 2015 i 2024'!P116</f>
        <v>54355.52793367525</v>
      </c>
      <c r="C28" s="1">
        <f t="shared" si="0"/>
        <v>10.903301597288481</v>
      </c>
      <c r="D28" s="2">
        <v>28</v>
      </c>
      <c r="E28">
        <f t="shared" si="1"/>
        <v>3.3322045101752038</v>
      </c>
    </row>
    <row r="29" spans="1:5" x14ac:dyDescent="0.3">
      <c r="A29">
        <v>2023.3999999999996</v>
      </c>
      <c r="B29" s="6">
        <f>'[1]GVA - ceny stałe 2015 i 2024'!P117</f>
        <v>51381.596226313428</v>
      </c>
      <c r="C29" s="1">
        <f t="shared" si="0"/>
        <v>10.847035337256301</v>
      </c>
      <c r="D29" s="2">
        <v>29</v>
      </c>
      <c r="E29">
        <f t="shared" si="1"/>
        <v>3.3672958299864741</v>
      </c>
    </row>
    <row r="30" spans="1:5" x14ac:dyDescent="0.3">
      <c r="A30">
        <v>2024.1</v>
      </c>
      <c r="B30" s="6">
        <f>'[1]GVA - ceny stałe 2015 i 2024'!P118</f>
        <v>46441.887179591591</v>
      </c>
      <c r="C30" s="1">
        <f t="shared" si="0"/>
        <v>10.745957071928279</v>
      </c>
      <c r="D30" s="2">
        <v>30</v>
      </c>
      <c r="E30">
        <f t="shared" si="1"/>
        <v>3.4011973816621555</v>
      </c>
    </row>
    <row r="31" spans="1:5" x14ac:dyDescent="0.3">
      <c r="A31">
        <v>2024.1999999999998</v>
      </c>
      <c r="B31" s="6">
        <f>'[1]GVA - ceny stałe 2015 i 2024'!P119</f>
        <v>51057.677017059439</v>
      </c>
      <c r="C31" s="1">
        <f t="shared" si="0"/>
        <v>10.840711194599148</v>
      </c>
      <c r="D31" s="2">
        <v>31</v>
      </c>
      <c r="E31">
        <f t="shared" si="1"/>
        <v>3.4339872044851463</v>
      </c>
    </row>
    <row r="32" spans="1:5" x14ac:dyDescent="0.3">
      <c r="A32">
        <v>2024.2999999999997</v>
      </c>
      <c r="B32" s="6">
        <f>'[1]GVA - ceny stałe 2015 i 2024'!P120</f>
        <v>55424.343535410102</v>
      </c>
      <c r="C32" s="1">
        <f t="shared" si="0"/>
        <v>10.92277419021789</v>
      </c>
      <c r="D32" s="2">
        <v>32</v>
      </c>
      <c r="E32">
        <f t="shared" si="1"/>
        <v>3.4657359027997265</v>
      </c>
    </row>
    <row r="33" spans="1:5" x14ac:dyDescent="0.3">
      <c r="A33">
        <v>2024.3999999999996</v>
      </c>
      <c r="B33" s="6">
        <f>'[1]GVA - ceny stałe 2015 i 2024'!P121</f>
        <v>52502.592267939013</v>
      </c>
      <c r="C33" s="1">
        <f t="shared" si="0"/>
        <v>10.868617823892906</v>
      </c>
      <c r="D33" s="2">
        <v>33</v>
      </c>
      <c r="E33">
        <f t="shared" si="1"/>
        <v>3.4965075614664802</v>
      </c>
    </row>
    <row r="34" spans="1:5" x14ac:dyDescent="0.3">
      <c r="A34" s="1"/>
      <c r="C34" s="1"/>
    </row>
    <row r="35" spans="1:5" x14ac:dyDescent="0.3">
      <c r="B35" s="1">
        <f>AVERAGE(B2:B33)</f>
        <v>47754.84952350142</v>
      </c>
      <c r="C35" s="1"/>
      <c r="D35" s="1"/>
    </row>
    <row r="36" spans="1:5" x14ac:dyDescent="0.3">
      <c r="C36" s="1"/>
      <c r="D36" s="3"/>
      <c r="E36" s="3"/>
    </row>
    <row r="37" spans="1:5" x14ac:dyDescent="0.3">
      <c r="C37" s="1"/>
    </row>
    <row r="38" spans="1:5" x14ac:dyDescent="0.3">
      <c r="C38" s="1"/>
    </row>
    <row r="39" spans="1:5" x14ac:dyDescent="0.3">
      <c r="C39" s="1"/>
    </row>
    <row r="40" spans="1:5" x14ac:dyDescent="0.3">
      <c r="C40" s="1"/>
    </row>
    <row r="41" spans="1:5" x14ac:dyDescent="0.3">
      <c r="C41" s="1"/>
    </row>
    <row r="42" spans="1:5" x14ac:dyDescent="0.3">
      <c r="C42" s="1"/>
    </row>
    <row r="43" spans="1:5" x14ac:dyDescent="0.3">
      <c r="C43" s="1"/>
    </row>
    <row r="44" spans="1:5" x14ac:dyDescent="0.3">
      <c r="C44" s="1"/>
    </row>
    <row r="45" spans="1:5" x14ac:dyDescent="0.3">
      <c r="C45" s="1"/>
    </row>
    <row r="46" spans="1:5" x14ac:dyDescent="0.3">
      <c r="C46" s="1"/>
    </row>
    <row r="47" spans="1:5" x14ac:dyDescent="0.3">
      <c r="C47" s="1"/>
    </row>
    <row r="48" spans="1:5" x14ac:dyDescent="0.3">
      <c r="C48" s="1"/>
    </row>
    <row r="49" spans="3:11" x14ac:dyDescent="0.3">
      <c r="C49" s="1"/>
    </row>
    <row r="50" spans="3:11" x14ac:dyDescent="0.3">
      <c r="C50" s="1"/>
    </row>
    <row r="51" spans="3:11" x14ac:dyDescent="0.3">
      <c r="C51" s="1"/>
    </row>
    <row r="52" spans="3:11" x14ac:dyDescent="0.3">
      <c r="C52" s="1"/>
    </row>
    <row r="53" spans="3:11" x14ac:dyDescent="0.3">
      <c r="C53" s="1"/>
    </row>
    <row r="54" spans="3:11" x14ac:dyDescent="0.3">
      <c r="C54" s="1"/>
    </row>
    <row r="55" spans="3:11" x14ac:dyDescent="0.3">
      <c r="C55" s="1"/>
    </row>
    <row r="56" spans="3:11" x14ac:dyDescent="0.3">
      <c r="C56" s="1"/>
    </row>
    <row r="57" spans="3:11" x14ac:dyDescent="0.3">
      <c r="C57" s="1"/>
    </row>
    <row r="58" spans="3:11" x14ac:dyDescent="0.3">
      <c r="C58" s="1"/>
    </row>
    <row r="59" spans="3:11" x14ac:dyDescent="0.3">
      <c r="C59" s="1"/>
    </row>
    <row r="60" spans="3:11" x14ac:dyDescent="0.3">
      <c r="C60" s="1"/>
    </row>
    <row r="61" spans="3:11" x14ac:dyDescent="0.3">
      <c r="C61" s="1"/>
    </row>
    <row r="63" spans="3:11" x14ac:dyDescent="0.3">
      <c r="C63" s="1"/>
    </row>
    <row r="64" spans="3:11" x14ac:dyDescent="0.3">
      <c r="F64" s="3"/>
      <c r="G64" s="3"/>
      <c r="H64" s="3"/>
      <c r="I64" s="3"/>
      <c r="J64" s="3"/>
      <c r="K6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5EDD-B037-4037-9323-FB5DE93A74F4}">
  <dimension ref="A1:I18"/>
  <sheetViews>
    <sheetView workbookViewId="0"/>
  </sheetViews>
  <sheetFormatPr defaultRowHeight="14.4" x14ac:dyDescent="0.3"/>
  <cols>
    <col min="1" max="1" width="15.5546875" customWidth="1"/>
    <col min="2" max="2" width="13" customWidth="1"/>
    <col min="6" max="6" width="10.44140625" customWidth="1"/>
  </cols>
  <sheetData>
    <row r="1" spans="1:9" x14ac:dyDescent="0.3">
      <c r="A1" t="s">
        <v>25</v>
      </c>
    </row>
    <row r="2" spans="1:9" ht="15" thickBot="1" x14ac:dyDescent="0.35"/>
    <row r="3" spans="1:9" x14ac:dyDescent="0.3">
      <c r="A3" s="10" t="s">
        <v>26</v>
      </c>
      <c r="B3" s="10"/>
    </row>
    <row r="4" spans="1:9" x14ac:dyDescent="0.3">
      <c r="A4" t="s">
        <v>27</v>
      </c>
      <c r="B4">
        <v>0.43463445045857219</v>
      </c>
    </row>
    <row r="5" spans="1:9" x14ac:dyDescent="0.3">
      <c r="A5" t="s">
        <v>28</v>
      </c>
      <c r="B5">
        <v>0.18890710552542503</v>
      </c>
    </row>
    <row r="6" spans="1:9" x14ac:dyDescent="0.3">
      <c r="A6" t="s">
        <v>29</v>
      </c>
      <c r="B6">
        <v>0.16187067570960587</v>
      </c>
    </row>
    <row r="7" spans="1:9" x14ac:dyDescent="0.3">
      <c r="A7" t="s">
        <v>30</v>
      </c>
      <c r="B7">
        <v>7.1347172025231956E-2</v>
      </c>
    </row>
    <row r="8" spans="1:9" ht="15" thickBot="1" x14ac:dyDescent="0.35">
      <c r="A8" s="8" t="s">
        <v>31</v>
      </c>
      <c r="B8" s="8">
        <v>32</v>
      </c>
    </row>
    <row r="10" spans="1:9" ht="15" thickBot="1" x14ac:dyDescent="0.35">
      <c r="A10" t="s">
        <v>32</v>
      </c>
    </row>
    <row r="11" spans="1:9" x14ac:dyDescent="0.3">
      <c r="A11" s="9"/>
      <c r="B11" s="9" t="s">
        <v>37</v>
      </c>
      <c r="C11" s="9" t="s">
        <v>38</v>
      </c>
      <c r="D11" s="9" t="s">
        <v>39</v>
      </c>
      <c r="E11" s="9" t="s">
        <v>40</v>
      </c>
      <c r="F11" s="9" t="s">
        <v>41</v>
      </c>
    </row>
    <row r="12" spans="1:9" x14ac:dyDescent="0.3">
      <c r="A12" t="s">
        <v>33</v>
      </c>
      <c r="B12">
        <v>1</v>
      </c>
      <c r="C12">
        <v>3.556742948089614E-2</v>
      </c>
      <c r="D12">
        <v>3.556742948089614E-2</v>
      </c>
      <c r="E12">
        <v>6.9871320589412447</v>
      </c>
      <c r="F12">
        <v>1.2926033365354144E-2</v>
      </c>
    </row>
    <row r="13" spans="1:9" x14ac:dyDescent="0.3">
      <c r="A13" t="s">
        <v>34</v>
      </c>
      <c r="B13">
        <v>30</v>
      </c>
      <c r="C13">
        <v>0.15271256867994126</v>
      </c>
      <c r="D13">
        <v>5.0904189559980422E-3</v>
      </c>
    </row>
    <row r="14" spans="1:9" ht="15" thickBot="1" x14ac:dyDescent="0.35">
      <c r="A14" s="8" t="s">
        <v>35</v>
      </c>
      <c r="B14" s="8">
        <v>31</v>
      </c>
      <c r="C14" s="8">
        <v>0.1882799981608374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42</v>
      </c>
      <c r="C16" s="9" t="s">
        <v>30</v>
      </c>
      <c r="D16" s="9" t="s">
        <v>43</v>
      </c>
      <c r="E16" s="9" t="s">
        <v>44</v>
      </c>
      <c r="F16" s="9" t="s">
        <v>45</v>
      </c>
      <c r="G16" s="9" t="s">
        <v>46</v>
      </c>
      <c r="H16" s="9" t="s">
        <v>47</v>
      </c>
      <c r="I16" s="9" t="s">
        <v>48</v>
      </c>
    </row>
    <row r="17" spans="1:9" x14ac:dyDescent="0.3">
      <c r="A17" t="s">
        <v>36</v>
      </c>
      <c r="B17">
        <v>10.648332520065681</v>
      </c>
      <c r="C17">
        <v>4.8051676693797368E-2</v>
      </c>
      <c r="D17">
        <v>221.60168495098932</v>
      </c>
      <c r="E17">
        <v>8.8213264421532887E-50</v>
      </c>
      <c r="F17">
        <v>10.550197904274846</v>
      </c>
      <c r="G17">
        <v>10.746467135856516</v>
      </c>
      <c r="H17">
        <v>10.550197904274846</v>
      </c>
      <c r="I17">
        <v>10.746467135856516</v>
      </c>
    </row>
    <row r="18" spans="1:9" ht="15" thickBot="1" x14ac:dyDescent="0.35">
      <c r="A18" s="8" t="s">
        <v>49</v>
      </c>
      <c r="B18" s="8">
        <v>4.611160602694242E-2</v>
      </c>
      <c r="C18" s="8">
        <v>1.7444590244171714E-2</v>
      </c>
      <c r="D18" s="8">
        <v>2.6433183801693731</v>
      </c>
      <c r="E18" s="8">
        <v>1.2926033365354132E-2</v>
      </c>
      <c r="F18" s="8">
        <v>1.0484999859809246E-2</v>
      </c>
      <c r="G18" s="8">
        <v>8.1738212194075593E-2</v>
      </c>
      <c r="H18" s="8">
        <v>1.0484999859809246E-2</v>
      </c>
      <c r="I18" s="8">
        <v>8.1738212194075593E-2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C7EE-64C2-4F55-BF4A-61D9E59C29F1}">
  <dimension ref="A1:I18"/>
  <sheetViews>
    <sheetView tabSelected="1" workbookViewId="0"/>
  </sheetViews>
  <sheetFormatPr defaultRowHeight="14.4" x14ac:dyDescent="0.3"/>
  <cols>
    <col min="1" max="1" width="15.109375" customWidth="1"/>
    <col min="2" max="2" width="15.44140625" customWidth="1"/>
    <col min="3" max="3" width="16" customWidth="1"/>
  </cols>
  <sheetData>
    <row r="1" spans="1:9" x14ac:dyDescent="0.3">
      <c r="A1" t="s">
        <v>25</v>
      </c>
    </row>
    <row r="2" spans="1:9" ht="15" thickBot="1" x14ac:dyDescent="0.35"/>
    <row r="3" spans="1:9" x14ac:dyDescent="0.3">
      <c r="A3" s="10" t="s">
        <v>26</v>
      </c>
      <c r="B3" s="10"/>
    </row>
    <row r="4" spans="1:9" x14ac:dyDescent="0.3">
      <c r="A4" t="s">
        <v>27</v>
      </c>
      <c r="B4">
        <v>0.52339981256001655</v>
      </c>
    </row>
    <row r="5" spans="1:9" x14ac:dyDescent="0.3">
      <c r="A5" t="s">
        <v>28</v>
      </c>
      <c r="B5">
        <v>0.27394736378786044</v>
      </c>
    </row>
    <row r="6" spans="1:9" x14ac:dyDescent="0.3">
      <c r="A6" t="s">
        <v>29</v>
      </c>
      <c r="B6">
        <v>0.24974560924745581</v>
      </c>
    </row>
    <row r="7" spans="1:9" x14ac:dyDescent="0.3">
      <c r="A7" t="s">
        <v>30</v>
      </c>
      <c r="B7">
        <v>6.7503379918019107E-2</v>
      </c>
    </row>
    <row r="8" spans="1:9" ht="15" thickBot="1" x14ac:dyDescent="0.35">
      <c r="A8" s="8" t="s">
        <v>31</v>
      </c>
      <c r="B8" s="8">
        <v>32</v>
      </c>
    </row>
    <row r="10" spans="1:9" ht="15" thickBot="1" x14ac:dyDescent="0.35">
      <c r="A10" t="s">
        <v>32</v>
      </c>
    </row>
    <row r="11" spans="1:9" x14ac:dyDescent="0.3">
      <c r="A11" s="9"/>
      <c r="B11" s="9" t="s">
        <v>37</v>
      </c>
      <c r="C11" s="9" t="s">
        <v>38</v>
      </c>
      <c r="D11" s="9" t="s">
        <v>39</v>
      </c>
      <c r="E11" s="9" t="s">
        <v>40</v>
      </c>
      <c r="F11" s="9" t="s">
        <v>41</v>
      </c>
    </row>
    <row r="12" spans="1:9" x14ac:dyDescent="0.3">
      <c r="A12" t="s">
        <v>33</v>
      </c>
      <c r="B12">
        <v>1</v>
      </c>
      <c r="C12">
        <v>5.1578809150144622E-2</v>
      </c>
      <c r="D12">
        <v>5.1578809150144622E-2</v>
      </c>
      <c r="E12">
        <v>11.31931833002055</v>
      </c>
      <c r="F12">
        <v>2.1120276078804819E-3</v>
      </c>
    </row>
    <row r="13" spans="1:9" x14ac:dyDescent="0.3">
      <c r="A13" t="s">
        <v>34</v>
      </c>
      <c r="B13">
        <v>30</v>
      </c>
      <c r="C13">
        <v>0.13670118901069278</v>
      </c>
      <c r="D13">
        <v>4.5567063003564261E-3</v>
      </c>
    </row>
    <row r="14" spans="1:9" ht="15" thickBot="1" x14ac:dyDescent="0.35">
      <c r="A14" s="8" t="s">
        <v>35</v>
      </c>
      <c r="B14" s="8">
        <v>31</v>
      </c>
      <c r="C14" s="8">
        <v>0.1882799981608374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42</v>
      </c>
      <c r="C16" s="9" t="s">
        <v>30</v>
      </c>
      <c r="D16" s="9" t="s">
        <v>43</v>
      </c>
      <c r="E16" s="9" t="s">
        <v>44</v>
      </c>
      <c r="F16" s="9" t="s">
        <v>45</v>
      </c>
      <c r="G16" s="9" t="s">
        <v>46</v>
      </c>
      <c r="H16" s="9" t="s">
        <v>47</v>
      </c>
      <c r="I16" s="9" t="s">
        <v>48</v>
      </c>
    </row>
    <row r="17" spans="1:9" x14ac:dyDescent="0.3">
      <c r="A17" t="s">
        <v>36</v>
      </c>
      <c r="B17">
        <v>10.694800765898755</v>
      </c>
      <c r="C17">
        <v>2.5572266329002682E-2</v>
      </c>
      <c r="D17">
        <v>418.21873072584458</v>
      </c>
      <c r="E17">
        <v>4.7140379344416142E-58</v>
      </c>
      <c r="F17">
        <v>10.642575230729832</v>
      </c>
      <c r="G17">
        <v>10.747026301067677</v>
      </c>
      <c r="H17">
        <v>10.642575230729832</v>
      </c>
      <c r="I17">
        <v>10.747026301067677</v>
      </c>
    </row>
    <row r="18" spans="1:9" ht="15" thickBot="1" x14ac:dyDescent="0.35">
      <c r="A18" s="8" t="s">
        <v>49</v>
      </c>
      <c r="B18" s="8">
        <v>4.3482396558712942E-3</v>
      </c>
      <c r="C18" s="8">
        <v>1.2924190049263733E-3</v>
      </c>
      <c r="D18" s="8">
        <v>3.3644194640413891</v>
      </c>
      <c r="E18" s="8">
        <v>2.112027607880481E-3</v>
      </c>
      <c r="F18" s="8">
        <v>1.7087679201099083E-3</v>
      </c>
      <c r="G18" s="8">
        <v>6.98771139163268E-3</v>
      </c>
      <c r="H18" s="8">
        <v>1.7087679201099083E-3</v>
      </c>
      <c r="I18" s="8">
        <v>6.98771139163268E-3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A02DD375EACAC4FB15EEC8FD8FFC49B" ma:contentTypeVersion="15" ma:contentTypeDescription="Utwórz nowy dokument." ma:contentTypeScope="" ma:versionID="f277efaaccb9604b371bfb34b8a7b02d">
  <xsd:schema xmlns:xsd="http://www.w3.org/2001/XMLSchema" xmlns:xs="http://www.w3.org/2001/XMLSchema" xmlns:p="http://schemas.microsoft.com/office/2006/metadata/properties" xmlns:ns3="df20a811-f17a-454b-a878-f104ad76a41c" xmlns:ns4="e4643e21-c9d5-45ab-a099-62e58f861c93" targetNamespace="http://schemas.microsoft.com/office/2006/metadata/properties" ma:root="true" ma:fieldsID="1023a9ed3908abd5cf15810256093846" ns3:_="" ns4:_="">
    <xsd:import namespace="df20a811-f17a-454b-a878-f104ad76a41c"/>
    <xsd:import namespace="e4643e21-c9d5-45ab-a099-62e58f861c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a811-f17a-454b-a878-f104ad76a4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43e21-c9d5-45ab-a099-62e58f861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20a811-f17a-454b-a878-f104ad76a41c" xsi:nil="true"/>
  </documentManagement>
</p:properties>
</file>

<file path=customXml/itemProps1.xml><?xml version="1.0" encoding="utf-8"?>
<ds:datastoreItem xmlns:ds="http://schemas.openxmlformats.org/officeDocument/2006/customXml" ds:itemID="{75F1182F-CAF4-4608-99A5-03B2E59145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00A54C-1C51-4C97-BB2B-D804126662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20a811-f17a-454b-a878-f104ad76a41c"/>
    <ds:schemaRef ds:uri="e4643e21-c9d5-45ab-a099-62e58f861c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8DA980-E041-4F9A-8DF2-47093692E34E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e4643e21-c9d5-45ab-a099-62e58f861c93"/>
    <ds:schemaRef ds:uri="df20a811-f17a-454b-a878-f104ad76a4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t.liniowy</vt:lpstr>
      <vt:lpstr>t.potęgowy</vt:lpstr>
      <vt:lpstr>t.wykładniczy</vt:lpstr>
      <vt:lpstr>LOGARYTM NATURALNY OBLICZENIA</vt:lpstr>
      <vt:lpstr>t.potegowy-analiza danych</vt:lpstr>
      <vt:lpstr>t.wykładniczy-analiza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Hołowaty</dc:creator>
  <cp:lastModifiedBy>Kacper Hołowaty</cp:lastModifiedBy>
  <dcterms:created xsi:type="dcterms:W3CDTF">2025-11-20T12:50:00Z</dcterms:created>
  <dcterms:modified xsi:type="dcterms:W3CDTF">2025-11-25T19:28:37Z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0x010100AA02DD375EACAC4FB15EEC8FD8FFC49B</vt:lpwstr>
  </property>
</Properties>
</file>