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cpe\.vscode\extensions\studia\time_series\lab02\"/>
    </mc:Choice>
  </mc:AlternateContent>
  <xr:revisionPtr revIDLastSave="0" documentId="13_ncr:1_{5D1046DB-FC11-4267-93A6-377ECEE1CBE7}" xr6:coauthVersionLast="47" xr6:coauthVersionMax="47" xr10:uidLastSave="{00000000-0000-0000-0000-000000000000}"/>
  <bookViews>
    <workbookView xWindow="-108" yWindow="-108" windowWidth="23256" windowHeight="12456" activeTab="2" xr2:uid="{F48C9DC6-FF8C-47C1-9B73-2ECB170CCD0A}"/>
  </bookViews>
  <sheets>
    <sheet name="GVA Eurostat" sheetId="4" r:id="rId1"/>
    <sheet name="GVA - ceny stałe 2015 i 2024" sheetId="2" r:id="rId2"/>
    <sheet name="Analiza GVA - Grecja" sheetId="3" r:id="rId3"/>
  </sheets>
  <definedNames>
    <definedName name="solver_adj" localSheetId="1" hidden="1">'GVA - ceny stałe 2015 i 2024'!$I$82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'GVA - ceny stałe 2015 i 2024'!$M$85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3" l="1"/>
  <c r="E9" i="2" l="1"/>
  <c r="E13" i="2"/>
  <c r="E17" i="2"/>
  <c r="E21" i="2"/>
  <c r="F21" i="2" s="1"/>
  <c r="E25" i="2"/>
  <c r="E29" i="2"/>
  <c r="E33" i="2"/>
  <c r="E37" i="2"/>
  <c r="E41" i="2"/>
  <c r="E45" i="2"/>
  <c r="E49" i="2"/>
  <c r="F49" i="2" s="1"/>
  <c r="E53" i="2"/>
  <c r="F53" i="2" s="1"/>
  <c r="E57" i="2"/>
  <c r="E61" i="2"/>
  <c r="E65" i="2"/>
  <c r="E69" i="2"/>
  <c r="E73" i="2"/>
  <c r="E77" i="2"/>
  <c r="E81" i="2"/>
  <c r="F81" i="2" s="1"/>
  <c r="E85" i="2"/>
  <c r="F85" i="2" s="1"/>
  <c r="L81" i="2" s="1"/>
  <c r="L77" i="2" s="1"/>
  <c r="E89" i="2"/>
  <c r="E93" i="2"/>
  <c r="E97" i="2"/>
  <c r="E101" i="2"/>
  <c r="E105" i="2"/>
  <c r="E109" i="2"/>
  <c r="E113" i="2"/>
  <c r="F113" i="2" s="1"/>
  <c r="E117" i="2"/>
  <c r="F117" i="2" s="1"/>
  <c r="E121" i="2"/>
  <c r="E5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I81" i="2" s="1"/>
  <c r="C83" i="2"/>
  <c r="I83" i="2" s="1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P117" i="2" s="1"/>
  <c r="C119" i="2"/>
  <c r="P119" i="2" s="1"/>
  <c r="C120" i="2"/>
  <c r="C121" i="2"/>
  <c r="C122" i="2"/>
  <c r="C123" i="2"/>
  <c r="C3" i="2"/>
  <c r="F17" i="2" l="1"/>
  <c r="F109" i="2"/>
  <c r="F77" i="2"/>
  <c r="L73" i="2" s="1"/>
  <c r="F45" i="2"/>
  <c r="F13" i="2"/>
  <c r="F9" i="2"/>
  <c r="F101" i="2"/>
  <c r="F69" i="2"/>
  <c r="F37" i="2"/>
  <c r="I80" i="2"/>
  <c r="I79" i="2" s="1"/>
  <c r="I78" i="2" s="1"/>
  <c r="I77" i="2" s="1"/>
  <c r="I76" i="2" s="1"/>
  <c r="I75" i="2" s="1"/>
  <c r="I74" i="2" s="1"/>
  <c r="F61" i="2"/>
  <c r="F25" i="2"/>
  <c r="F41" i="2"/>
  <c r="F97" i="2"/>
  <c r="F65" i="2"/>
  <c r="F33" i="2"/>
  <c r="B60" i="3"/>
  <c r="C60" i="3" s="1"/>
  <c r="P116" i="2"/>
  <c r="B58" i="3"/>
  <c r="F105" i="2"/>
  <c r="F29" i="2"/>
  <c r="I84" i="2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F121" i="2"/>
  <c r="S117" i="2" s="1"/>
  <c r="S113" i="2" s="1"/>
  <c r="F89" i="2"/>
  <c r="L89" i="2" s="1"/>
  <c r="F57" i="2"/>
  <c r="F93" i="2"/>
  <c r="F73" i="2"/>
  <c r="P120" i="2"/>
  <c r="K97" i="2" l="1"/>
  <c r="L69" i="2"/>
  <c r="L65" i="2" s="1"/>
  <c r="L61" i="2" s="1"/>
  <c r="L57" i="2" s="1"/>
  <c r="L53" i="2" s="1"/>
  <c r="L49" i="2" s="1"/>
  <c r="L45" i="2" s="1"/>
  <c r="L41" i="2" s="1"/>
  <c r="L37" i="2" s="1"/>
  <c r="L33" i="2" s="1"/>
  <c r="L29" i="2" s="1"/>
  <c r="L25" i="2" s="1"/>
  <c r="L21" i="2" s="1"/>
  <c r="L17" i="2" s="1"/>
  <c r="L13" i="2" s="1"/>
  <c r="L9" i="2" s="1"/>
  <c r="I73" i="2"/>
  <c r="I72" i="2" s="1"/>
  <c r="I71" i="2" s="1"/>
  <c r="I70" i="2" s="1"/>
  <c r="K77" i="2"/>
  <c r="M77" i="2" s="1"/>
  <c r="K113" i="2"/>
  <c r="K93" i="2"/>
  <c r="K121" i="2"/>
  <c r="K105" i="2"/>
  <c r="K109" i="2"/>
  <c r="K89" i="2"/>
  <c r="M89" i="2" s="1"/>
  <c r="K81" i="2"/>
  <c r="M81" i="2" s="1"/>
  <c r="K85" i="2"/>
  <c r="M85" i="2" s="1"/>
  <c r="K117" i="2"/>
  <c r="K101" i="2"/>
  <c r="L93" i="2"/>
  <c r="L97" i="2" s="1"/>
  <c r="L101" i="2" s="1"/>
  <c r="L105" i="2" s="1"/>
  <c r="L109" i="2" s="1"/>
  <c r="B61" i="3"/>
  <c r="C61" i="3" s="1"/>
  <c r="C59" i="3"/>
  <c r="P115" i="2"/>
  <c r="B57" i="3"/>
  <c r="C58" i="3" s="1"/>
  <c r="P121" i="2"/>
  <c r="S109" i="2"/>
  <c r="L113" i="2" l="1"/>
  <c r="L117" i="2" s="1"/>
  <c r="L121" i="2" s="1"/>
  <c r="M121" i="2" s="1"/>
  <c r="M109" i="2"/>
  <c r="M101" i="2"/>
  <c r="M97" i="2"/>
  <c r="M93" i="2"/>
  <c r="I69" i="2"/>
  <c r="I68" i="2" s="1"/>
  <c r="I67" i="2" s="1"/>
  <c r="I66" i="2" s="1"/>
  <c r="K73" i="2"/>
  <c r="M73" i="2" s="1"/>
  <c r="P114" i="2"/>
  <c r="B56" i="3"/>
  <c r="C57" i="3" s="1"/>
  <c r="M105" i="2"/>
  <c r="R121" i="2"/>
  <c r="T121" i="2" s="1"/>
  <c r="B62" i="3"/>
  <c r="C62" i="3" s="1"/>
  <c r="S105" i="2"/>
  <c r="M117" i="2" l="1"/>
  <c r="I65" i="2"/>
  <c r="I64" i="2" s="1"/>
  <c r="I63" i="2" s="1"/>
  <c r="I62" i="2" s="1"/>
  <c r="K69" i="2"/>
  <c r="M69" i="2" s="1"/>
  <c r="M113" i="2"/>
  <c r="P113" i="2"/>
  <c r="B55" i="3"/>
  <c r="R117" i="2"/>
  <c r="T117" i="2" s="1"/>
  <c r="S101" i="2"/>
  <c r="I61" i="2" l="1"/>
  <c r="I60" i="2" s="1"/>
  <c r="I59" i="2" s="1"/>
  <c r="I58" i="2" s="1"/>
  <c r="K65" i="2"/>
  <c r="M65" i="2" s="1"/>
  <c r="C56" i="3"/>
  <c r="P112" i="2"/>
  <c r="B54" i="3"/>
  <c r="S97" i="2"/>
  <c r="I57" i="2" l="1"/>
  <c r="I56" i="2" s="1"/>
  <c r="I55" i="2" s="1"/>
  <c r="I54" i="2" s="1"/>
  <c r="K61" i="2"/>
  <c r="M61" i="2" s="1"/>
  <c r="P111" i="2"/>
  <c r="B53" i="3"/>
  <c r="C54" i="3" s="1"/>
  <c r="C55" i="3"/>
  <c r="S93" i="2"/>
  <c r="S89" i="2" s="1"/>
  <c r="S85" i="2" s="1"/>
  <c r="I53" i="2" l="1"/>
  <c r="I52" i="2" s="1"/>
  <c r="I51" i="2" s="1"/>
  <c r="I50" i="2" s="1"/>
  <c r="K57" i="2"/>
  <c r="M57" i="2" s="1"/>
  <c r="P110" i="2"/>
  <c r="B52" i="3"/>
  <c r="I49" i="2" l="1"/>
  <c r="I48" i="2" s="1"/>
  <c r="I47" i="2" s="1"/>
  <c r="I46" i="2" s="1"/>
  <c r="K53" i="2"/>
  <c r="M53" i="2" s="1"/>
  <c r="C53" i="3"/>
  <c r="P109" i="2"/>
  <c r="B51" i="3"/>
  <c r="C52" i="3" s="1"/>
  <c r="R113" i="2"/>
  <c r="T113" i="2" s="1"/>
  <c r="I45" i="2" l="1"/>
  <c r="I44" i="2" s="1"/>
  <c r="I43" i="2" s="1"/>
  <c r="I42" i="2" s="1"/>
  <c r="K49" i="2"/>
  <c r="M49" i="2" s="1"/>
  <c r="P108" i="2"/>
  <c r="B50" i="3"/>
  <c r="C51" i="3" s="1"/>
  <c r="S81" i="2"/>
  <c r="I41" i="2" l="1"/>
  <c r="I40" i="2" s="1"/>
  <c r="I39" i="2" s="1"/>
  <c r="I38" i="2" s="1"/>
  <c r="K45" i="2"/>
  <c r="M45" i="2" s="1"/>
  <c r="P107" i="2"/>
  <c r="B49" i="3"/>
  <c r="C50" i="3"/>
  <c r="S77" i="2"/>
  <c r="I37" i="2" l="1"/>
  <c r="I36" i="2" s="1"/>
  <c r="I35" i="2" s="1"/>
  <c r="I34" i="2" s="1"/>
  <c r="K41" i="2"/>
  <c r="M41" i="2" s="1"/>
  <c r="P106" i="2"/>
  <c r="B48" i="3"/>
  <c r="C49" i="3" s="1"/>
  <c r="S73" i="2"/>
  <c r="I33" i="2" l="1"/>
  <c r="I32" i="2" s="1"/>
  <c r="I31" i="2" s="1"/>
  <c r="I30" i="2" s="1"/>
  <c r="K37" i="2"/>
  <c r="M37" i="2" s="1"/>
  <c r="P105" i="2"/>
  <c r="B47" i="3"/>
  <c r="R109" i="2"/>
  <c r="T109" i="2" s="1"/>
  <c r="S69" i="2"/>
  <c r="I29" i="2" l="1"/>
  <c r="I28" i="2" s="1"/>
  <c r="I27" i="2" s="1"/>
  <c r="I26" i="2" s="1"/>
  <c r="K33" i="2"/>
  <c r="M33" i="2" s="1"/>
  <c r="C48" i="3"/>
  <c r="P104" i="2"/>
  <c r="B46" i="3"/>
  <c r="S65" i="2"/>
  <c r="I25" i="2" l="1"/>
  <c r="I24" i="2" s="1"/>
  <c r="I23" i="2" s="1"/>
  <c r="I22" i="2" s="1"/>
  <c r="K29" i="2"/>
  <c r="M29" i="2" s="1"/>
  <c r="P103" i="2"/>
  <c r="B45" i="3"/>
  <c r="C46" i="3" s="1"/>
  <c r="C47" i="3"/>
  <c r="S61" i="2"/>
  <c r="I21" i="2" l="1"/>
  <c r="I20" i="2" s="1"/>
  <c r="I19" i="2" s="1"/>
  <c r="I18" i="2" s="1"/>
  <c r="K25" i="2"/>
  <c r="M25" i="2" s="1"/>
  <c r="P102" i="2"/>
  <c r="B44" i="3"/>
  <c r="S57" i="2"/>
  <c r="I17" i="2" l="1"/>
  <c r="I16" i="2" s="1"/>
  <c r="I15" i="2" s="1"/>
  <c r="I14" i="2" s="1"/>
  <c r="K21" i="2"/>
  <c r="M21" i="2" s="1"/>
  <c r="C45" i="3"/>
  <c r="P101" i="2"/>
  <c r="B43" i="3"/>
  <c r="C44" i="3" s="1"/>
  <c r="R105" i="2"/>
  <c r="T105" i="2" s="1"/>
  <c r="S53" i="2"/>
  <c r="I13" i="2" l="1"/>
  <c r="I12" i="2" s="1"/>
  <c r="I11" i="2" s="1"/>
  <c r="I10" i="2" s="1"/>
  <c r="K17" i="2"/>
  <c r="M17" i="2" s="1"/>
  <c r="P100" i="2"/>
  <c r="B42" i="3"/>
  <c r="C43" i="3"/>
  <c r="S49" i="2"/>
  <c r="I9" i="2" l="1"/>
  <c r="I8" i="2" s="1"/>
  <c r="I7" i="2" s="1"/>
  <c r="I6" i="2" s="1"/>
  <c r="K13" i="2"/>
  <c r="M13" i="2" s="1"/>
  <c r="P99" i="2"/>
  <c r="B41" i="3"/>
  <c r="C42" i="3" s="1"/>
  <c r="S45" i="2"/>
  <c r="I5" i="2" l="1"/>
  <c r="I4" i="2" s="1"/>
  <c r="I3" i="2" s="1"/>
  <c r="K9" i="2"/>
  <c r="M9" i="2" s="1"/>
  <c r="P98" i="2"/>
  <c r="B40" i="3"/>
  <c r="C41" i="3" s="1"/>
  <c r="S41" i="2"/>
  <c r="P97" i="2" l="1"/>
  <c r="B39" i="3"/>
  <c r="R101" i="2"/>
  <c r="T101" i="2" s="1"/>
  <c r="S37" i="2"/>
  <c r="C40" i="3" l="1"/>
  <c r="P96" i="2"/>
  <c r="B38" i="3"/>
  <c r="C39" i="3" s="1"/>
  <c r="S33" i="2"/>
  <c r="P95" i="2" l="1"/>
  <c r="B37" i="3"/>
  <c r="C38" i="3" s="1"/>
  <c r="S29" i="2"/>
  <c r="P94" i="2" l="1"/>
  <c r="B36" i="3"/>
  <c r="S25" i="2"/>
  <c r="C37" i="3" l="1"/>
  <c r="P93" i="2"/>
  <c r="B35" i="3"/>
  <c r="R97" i="2"/>
  <c r="T97" i="2" s="1"/>
  <c r="S21" i="2"/>
  <c r="P92" i="2" l="1"/>
  <c r="B34" i="3"/>
  <c r="C36" i="3"/>
  <c r="S17" i="2"/>
  <c r="P91" i="2" l="1"/>
  <c r="B33" i="3"/>
  <c r="C35" i="3"/>
  <c r="S13" i="2"/>
  <c r="P90" i="2" l="1"/>
  <c r="B32" i="3"/>
  <c r="C33" i="3" s="1"/>
  <c r="C34" i="3"/>
  <c r="S9" i="2"/>
  <c r="P89" i="2" l="1"/>
  <c r="B31" i="3"/>
  <c r="R93" i="2"/>
  <c r="T93" i="2" s="1"/>
  <c r="C32" i="3" l="1"/>
  <c r="P88" i="2"/>
  <c r="B30" i="3"/>
  <c r="C31" i="3" s="1"/>
  <c r="P87" i="2" l="1"/>
  <c r="B29" i="3"/>
  <c r="C30" i="3" s="1"/>
  <c r="P86" i="2" l="1"/>
  <c r="B28" i="3"/>
  <c r="C29" i="3" l="1"/>
  <c r="P85" i="2"/>
  <c r="B27" i="3"/>
  <c r="R89" i="2"/>
  <c r="T89" i="2" s="1"/>
  <c r="P84" i="2" l="1"/>
  <c r="B26" i="3"/>
  <c r="C27" i="3" s="1"/>
  <c r="C28" i="3"/>
  <c r="P83" i="2" l="1"/>
  <c r="B25" i="3"/>
  <c r="P82" i="2" l="1"/>
  <c r="B24" i="3"/>
  <c r="C25" i="3" s="1"/>
  <c r="C26" i="3"/>
  <c r="P81" i="2" l="1"/>
  <c r="B23" i="3"/>
  <c r="R85" i="2"/>
  <c r="T85" i="2" s="1"/>
  <c r="C24" i="3" l="1"/>
  <c r="P80" i="2"/>
  <c r="B22" i="3"/>
  <c r="C23" i="3" l="1"/>
  <c r="P79" i="2"/>
  <c r="B21" i="3"/>
  <c r="C22" i="3" s="1"/>
  <c r="P78" i="2" l="1"/>
  <c r="B20" i="3"/>
  <c r="P77" i="2" l="1"/>
  <c r="B19" i="3"/>
  <c r="R81" i="2"/>
  <c r="T81" i="2" s="1"/>
  <c r="C21" i="3"/>
  <c r="C20" i="3" l="1"/>
  <c r="P76" i="2"/>
  <c r="B18" i="3"/>
  <c r="C19" i="3" s="1"/>
  <c r="P75" i="2" l="1"/>
  <c r="B17" i="3"/>
  <c r="P74" i="2" l="1"/>
  <c r="B16" i="3"/>
  <c r="C17" i="3" s="1"/>
  <c r="C18" i="3"/>
  <c r="P73" i="2" l="1"/>
  <c r="B15" i="3"/>
  <c r="R77" i="2"/>
  <c r="T77" i="2" s="1"/>
  <c r="C16" i="3" l="1"/>
  <c r="P72" i="2"/>
  <c r="B14" i="3"/>
  <c r="C15" i="3" s="1"/>
  <c r="P71" i="2" l="1"/>
  <c r="B13" i="3"/>
  <c r="C14" i="3" l="1"/>
  <c r="P70" i="2"/>
  <c r="B12" i="3"/>
  <c r="C13" i="3" l="1"/>
  <c r="P69" i="2"/>
  <c r="B11" i="3"/>
  <c r="C12" i="3" s="1"/>
  <c r="R73" i="2"/>
  <c r="T73" i="2" s="1"/>
  <c r="P68" i="2" l="1"/>
  <c r="B10" i="3"/>
  <c r="C11" i="3" s="1"/>
  <c r="P67" i="2" l="1"/>
  <c r="B9" i="3"/>
  <c r="C10" i="3" s="1"/>
  <c r="P66" i="2" l="1"/>
  <c r="B8" i="3"/>
  <c r="C9" i="3" s="1"/>
  <c r="P65" i="2" l="1"/>
  <c r="B7" i="3"/>
  <c r="C8" i="3" s="1"/>
  <c r="R69" i="2"/>
  <c r="T69" i="2" s="1"/>
  <c r="P64" i="2" l="1"/>
  <c r="B6" i="3"/>
  <c r="P63" i="2" l="1"/>
  <c r="B5" i="3"/>
  <c r="C7" i="3"/>
  <c r="H4" i="3" l="1"/>
  <c r="P62" i="2"/>
  <c r="B4" i="3"/>
  <c r="C5" i="3" s="1"/>
  <c r="C6" i="3"/>
  <c r="H6" i="3" l="1"/>
  <c r="P61" i="2"/>
  <c r="P60" i="2" s="1"/>
  <c r="P59" i="2" s="1"/>
  <c r="P58" i="2" s="1"/>
  <c r="B3" i="3"/>
  <c r="C4" i="3" s="1"/>
  <c r="R65" i="2"/>
  <c r="T65" i="2" s="1"/>
  <c r="H7" i="3"/>
  <c r="H5" i="3" l="1"/>
  <c r="P57" i="2"/>
  <c r="P56" i="2" s="1"/>
  <c r="P55" i="2" s="1"/>
  <c r="P54" i="2" s="1"/>
  <c r="R61" i="2"/>
  <c r="T61" i="2" s="1"/>
  <c r="P53" i="2" l="1"/>
  <c r="P52" i="2" s="1"/>
  <c r="P51" i="2" s="1"/>
  <c r="P50" i="2" s="1"/>
  <c r="R57" i="2"/>
  <c r="T57" i="2" s="1"/>
  <c r="H9" i="3"/>
  <c r="I4" i="3" l="1"/>
  <c r="I7" i="3"/>
  <c r="I6" i="3"/>
  <c r="I5" i="3"/>
  <c r="P49" i="2"/>
  <c r="P48" i="2" s="1"/>
  <c r="P47" i="2" s="1"/>
  <c r="P46" i="2" s="1"/>
  <c r="R53" i="2"/>
  <c r="T53" i="2" s="1"/>
  <c r="P45" i="2" l="1"/>
  <c r="P44" i="2" s="1"/>
  <c r="P43" i="2" s="1"/>
  <c r="P42" i="2" s="1"/>
  <c r="R49" i="2"/>
  <c r="T49" i="2" s="1"/>
  <c r="D60" i="3"/>
  <c r="D56" i="3"/>
  <c r="D52" i="3"/>
  <c r="D48" i="3"/>
  <c r="D44" i="3"/>
  <c r="D40" i="3"/>
  <c r="D36" i="3"/>
  <c r="D32" i="3"/>
  <c r="D28" i="3"/>
  <c r="D24" i="3"/>
  <c r="D20" i="3"/>
  <c r="D16" i="3"/>
  <c r="D12" i="3"/>
  <c r="D8" i="3"/>
  <c r="D4" i="3"/>
  <c r="I9" i="3"/>
  <c r="D59" i="3"/>
  <c r="D55" i="3"/>
  <c r="D51" i="3"/>
  <c r="D47" i="3"/>
  <c r="D43" i="3"/>
  <c r="D39" i="3"/>
  <c r="D35" i="3"/>
  <c r="D31" i="3"/>
  <c r="D27" i="3"/>
  <c r="D23" i="3"/>
  <c r="D19" i="3"/>
  <c r="D15" i="3"/>
  <c r="D11" i="3"/>
  <c r="D7" i="3"/>
  <c r="D61" i="3"/>
  <c r="D57" i="3"/>
  <c r="D53" i="3"/>
  <c r="D49" i="3"/>
  <c r="D45" i="3"/>
  <c r="D41" i="3"/>
  <c r="D37" i="3"/>
  <c r="D33" i="3"/>
  <c r="D29" i="3"/>
  <c r="D25" i="3"/>
  <c r="D21" i="3"/>
  <c r="D17" i="3"/>
  <c r="D13" i="3"/>
  <c r="D9" i="3"/>
  <c r="D5" i="3"/>
  <c r="D58" i="3"/>
  <c r="D62" i="3"/>
  <c r="D54" i="3"/>
  <c r="D50" i="3"/>
  <c r="D46" i="3"/>
  <c r="D42" i="3"/>
  <c r="D38" i="3"/>
  <c r="D34" i="3"/>
  <c r="D30" i="3"/>
  <c r="D26" i="3"/>
  <c r="D22" i="3"/>
  <c r="D18" i="3"/>
  <c r="D14" i="3"/>
  <c r="D10" i="3"/>
  <c r="D6" i="3"/>
  <c r="P41" i="2" l="1"/>
  <c r="P40" i="2" s="1"/>
  <c r="P39" i="2" s="1"/>
  <c r="P38" i="2" s="1"/>
  <c r="R45" i="2"/>
  <c r="T45" i="2" s="1"/>
  <c r="P37" i="2" l="1"/>
  <c r="P36" i="2" s="1"/>
  <c r="P35" i="2" s="1"/>
  <c r="P34" i="2" s="1"/>
  <c r="R41" i="2"/>
  <c r="T41" i="2" s="1"/>
  <c r="P33" i="2" l="1"/>
  <c r="P32" i="2" s="1"/>
  <c r="P31" i="2" s="1"/>
  <c r="P30" i="2" s="1"/>
  <c r="R37" i="2"/>
  <c r="T37" i="2" s="1"/>
  <c r="P29" i="2" l="1"/>
  <c r="P28" i="2" s="1"/>
  <c r="P27" i="2" s="1"/>
  <c r="P26" i="2" s="1"/>
  <c r="R33" i="2"/>
  <c r="T33" i="2" s="1"/>
  <c r="P25" i="2" l="1"/>
  <c r="P24" i="2" s="1"/>
  <c r="P23" i="2" s="1"/>
  <c r="P22" i="2" s="1"/>
  <c r="R29" i="2"/>
  <c r="T29" i="2" s="1"/>
  <c r="P21" i="2" l="1"/>
  <c r="P20" i="2" s="1"/>
  <c r="P19" i="2" s="1"/>
  <c r="P18" i="2" s="1"/>
  <c r="R25" i="2"/>
  <c r="T25" i="2" s="1"/>
  <c r="P17" i="2" l="1"/>
  <c r="P16" i="2" s="1"/>
  <c r="P15" i="2" s="1"/>
  <c r="P14" i="2" s="1"/>
  <c r="R21" i="2"/>
  <c r="T21" i="2" s="1"/>
  <c r="P13" i="2" l="1"/>
  <c r="P12" i="2" s="1"/>
  <c r="P11" i="2" s="1"/>
  <c r="P10" i="2" s="1"/>
  <c r="R17" i="2"/>
  <c r="T17" i="2" s="1"/>
  <c r="P9" i="2" l="1"/>
  <c r="P8" i="2" s="1"/>
  <c r="P7" i="2" s="1"/>
  <c r="P6" i="2" s="1"/>
  <c r="R13" i="2"/>
  <c r="T13" i="2" s="1"/>
  <c r="P5" i="2" l="1"/>
  <c r="P4" i="2" s="1"/>
  <c r="P3" i="2" s="1"/>
  <c r="R9" i="2"/>
  <c r="T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O12" authorId="0" shapeId="0" xr:uid="{E7881951-45AB-4306-B9EB-EC93E4BB6987}">
      <text>
        <r>
          <rPr>
            <sz val="11"/>
            <color indexed="8"/>
            <rFont val="Aptos Narrow"/>
            <family val="2"/>
            <scheme val="minor"/>
          </rPr>
          <t>National accounts of Belgium have a break in series in 2009Q1 as a result of the benchmark revision that was carried out in October 2024.</t>
        </r>
      </text>
    </comment>
  </commentList>
</comments>
</file>

<file path=xl/sharedStrings.xml><?xml version="1.0" encoding="utf-8"?>
<sst xmlns="http://schemas.openxmlformats.org/spreadsheetml/2006/main" count="12005" uniqueCount="289">
  <si>
    <t>gva</t>
  </si>
  <si>
    <t>daty</t>
  </si>
  <si>
    <t>gva roczne</t>
  </si>
  <si>
    <t>ind. lancuchowy</t>
  </si>
  <si>
    <t>ind. lancuchowy roczny</t>
  </si>
  <si>
    <t>gva ceny 2015</t>
  </si>
  <si>
    <t>gva ceny 2024</t>
  </si>
  <si>
    <t>GRECJA</t>
  </si>
  <si>
    <t>wskaźniki</t>
  </si>
  <si>
    <t>surowe</t>
  </si>
  <si>
    <t>oczyszczone</t>
  </si>
  <si>
    <t>kw1</t>
  </si>
  <si>
    <t>kw2</t>
  </si>
  <si>
    <t>kw3</t>
  </si>
  <si>
    <t>kw4</t>
  </si>
  <si>
    <t>Data extracted on 06/11/2025 13:39:26 from [ESTAT]</t>
  </si>
  <si>
    <t xml:space="preserve">Dataset: </t>
  </si>
  <si>
    <t>Gross domestic product (GDP) and main components (output, expenditure and income) [namq_10_gdp__custom_18779096]</t>
  </si>
  <si>
    <t xml:space="preserve">Last updated: </t>
  </si>
  <si>
    <t>31/10/2025 23:00</t>
  </si>
  <si>
    <t>Time frequency</t>
  </si>
  <si>
    <t>Quarterly</t>
  </si>
  <si>
    <t>Unit of measure</t>
  </si>
  <si>
    <t>Chain linked volumes (2020), million units of national currency</t>
  </si>
  <si>
    <t>Seasonal adjustment</t>
  </si>
  <si>
    <t>Unadjusted data (i.e. neither seasonally adjusted nor calendar adjusted data)</t>
  </si>
  <si>
    <t>National accounts indicator (ESA 2010)</t>
  </si>
  <si>
    <t>Value added, gross</t>
  </si>
  <si>
    <t>TIME</t>
  </si>
  <si>
    <t>1975-Q1</t>
  </si>
  <si>
    <t/>
  </si>
  <si>
    <t>1975-Q2</t>
  </si>
  <si>
    <t>1975-Q3</t>
  </si>
  <si>
    <t>1975-Q4</t>
  </si>
  <si>
    <t>1976-Q1</t>
  </si>
  <si>
    <t>1976-Q2</t>
  </si>
  <si>
    <t>1976-Q3</t>
  </si>
  <si>
    <t>1976-Q4</t>
  </si>
  <si>
    <t>1977-Q1</t>
  </si>
  <si>
    <t>1977-Q2</t>
  </si>
  <si>
    <t>1977-Q3</t>
  </si>
  <si>
    <t>1977-Q4</t>
  </si>
  <si>
    <t>1978-Q1</t>
  </si>
  <si>
    <t>1978-Q2</t>
  </si>
  <si>
    <t>1978-Q3</t>
  </si>
  <si>
    <t>1978-Q4</t>
  </si>
  <si>
    <t>1979-Q1</t>
  </si>
  <si>
    <t>1979-Q2</t>
  </si>
  <si>
    <t>1979-Q3</t>
  </si>
  <si>
    <t>1979-Q4</t>
  </si>
  <si>
    <t>1980-Q1</t>
  </si>
  <si>
    <t>1980-Q2</t>
  </si>
  <si>
    <t>1980-Q3</t>
  </si>
  <si>
    <t>1980-Q4</t>
  </si>
  <si>
    <t>1981-Q1</t>
  </si>
  <si>
    <t>1981-Q2</t>
  </si>
  <si>
    <t>1981-Q3</t>
  </si>
  <si>
    <t>1981-Q4</t>
  </si>
  <si>
    <t>1982-Q1</t>
  </si>
  <si>
    <t>1982-Q2</t>
  </si>
  <si>
    <t>1982-Q3</t>
  </si>
  <si>
    <t>1982-Q4</t>
  </si>
  <si>
    <t>1983-Q1</t>
  </si>
  <si>
    <t>1983-Q2</t>
  </si>
  <si>
    <t>1983-Q3</t>
  </si>
  <si>
    <t>1983-Q4</t>
  </si>
  <si>
    <t>1984-Q1</t>
  </si>
  <si>
    <t>1984-Q2</t>
  </si>
  <si>
    <t>1984-Q3</t>
  </si>
  <si>
    <t>1984-Q4</t>
  </si>
  <si>
    <t>1985-Q1</t>
  </si>
  <si>
    <t>1985-Q2</t>
  </si>
  <si>
    <t>1985-Q3</t>
  </si>
  <si>
    <t>1985-Q4</t>
  </si>
  <si>
    <t>1986-Q1</t>
  </si>
  <si>
    <t>1986-Q2</t>
  </si>
  <si>
    <t>1986-Q3</t>
  </si>
  <si>
    <t>1986-Q4</t>
  </si>
  <si>
    <t>1987-Q1</t>
  </si>
  <si>
    <t>1987-Q2</t>
  </si>
  <si>
    <t>1987-Q3</t>
  </si>
  <si>
    <t>1987-Q4</t>
  </si>
  <si>
    <t>1988-Q1</t>
  </si>
  <si>
    <t>1988-Q2</t>
  </si>
  <si>
    <t>1988-Q3</t>
  </si>
  <si>
    <t>1988-Q4</t>
  </si>
  <si>
    <t>1989-Q1</t>
  </si>
  <si>
    <t>1989-Q2</t>
  </si>
  <si>
    <t>1989-Q3</t>
  </si>
  <si>
    <t>1989-Q4</t>
  </si>
  <si>
    <t>1990-Q1</t>
  </si>
  <si>
    <t>1990-Q2</t>
  </si>
  <si>
    <t>1990-Q3</t>
  </si>
  <si>
    <t>1990-Q4</t>
  </si>
  <si>
    <t>1991-Q1</t>
  </si>
  <si>
    <t>1991-Q2</t>
  </si>
  <si>
    <t>1991-Q3</t>
  </si>
  <si>
    <t>1991-Q4</t>
  </si>
  <si>
    <t>1992-Q1</t>
  </si>
  <si>
    <t>1992-Q2</t>
  </si>
  <si>
    <t>1992-Q3</t>
  </si>
  <si>
    <t>1992-Q4</t>
  </si>
  <si>
    <t>1993-Q1</t>
  </si>
  <si>
    <t>1993-Q2</t>
  </si>
  <si>
    <t>1993-Q3</t>
  </si>
  <si>
    <t>1993-Q4</t>
  </si>
  <si>
    <t>1994-Q1</t>
  </si>
  <si>
    <t>1994-Q2</t>
  </si>
  <si>
    <t>1994-Q3</t>
  </si>
  <si>
    <t>1994-Q4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</si>
  <si>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</si>
  <si>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</si>
  <si>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</si>
  <si>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</si>
  <si>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</si>
  <si>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</si>
  <si>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</si>
  <si>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</si>
  <si>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</si>
  <si>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</si>
  <si>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</si>
  <si>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</si>
  <si>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</si>
  <si>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</si>
  <si>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</si>
  <si>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</si>
  <si>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</si>
  <si>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</si>
  <si>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</si>
  <si>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</si>
  <si>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</si>
  <si>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</si>
  <si>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</si>
  <si>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</si>
  <si>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</si>
  <si>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</si>
  <si>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</si>
  <si>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</si>
  <si>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</si>
  <si>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</si>
  <si>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</si>
  <si>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</si>
  <si>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</si>
  <si>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</si>
  <si>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</si>
  <si>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</si>
  <si>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</si>
  <si>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</si>
  <si>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</si>
  <si>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</si>
  <si>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</si>
  <si>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</si>
  <si>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</si>
  <si>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</si>
  <si>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</si>
  <si>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</si>
  <si>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</si>
  <si>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</si>
  <si>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</si>
  <si>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</si>
  <si>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</si>
  <si>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</si>
  <si>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</si>
  <si>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</si>
  <si>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</si>
  <si>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</si>
  <si>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</si>
  <si>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</si>
  <si>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</si>
  <si>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</si>
  <si>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</si>
  <si>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</si>
  <si>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</si>
  <si>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</si>
  <si>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</si>
  <si>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</si>
  <si>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</si>
  <si>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</si>
  <si>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</si>
  <si>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</si>
  <si>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</si>
  <si>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</si>
  <si>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</si>
  <si>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</si>
  <si>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</si>
  <si>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</si>
  <si>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</si>
  <si>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</si>
  <si>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</si>
  <si>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</si>
  <si>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</si>
  <si>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</si>
  <si>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</si>
  <si>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</si>
  <si>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</si>
  <si>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</si>
  <si>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</si>
  <si>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</si>
  <si>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</si>
  <si>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</si>
  <si>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</si>
  <si>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</si>
  <si>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</si>
  <si>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</si>
  <si>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</si>
  <si>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</si>
  <si>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</si>
  <si>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</si>
  <si>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</si>
  <si>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</si>
  <si>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</si>
  <si>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</si>
  <si>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</si>
  <si>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</si>
  <si>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</si>
  <si>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</si>
  <si>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</si>
  <si>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</si>
  <si>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</si>
  <si>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</si>
  <si>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</si>
  <si>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</si>
  <si>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</si>
  <si>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</si>
  <si>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</si>
  <si>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</si>
  <si>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</si>
  <si>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</si>
  <si>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</si>
  <si>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</si>
  <si>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</si>
  <si>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</si>
  <si>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</si>
  <si>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GEO (Labels)</t>
  </si>
  <si>
    <t>Belgium</t>
  </si>
  <si>
    <t>:</t>
  </si>
  <si>
    <t>b</t>
  </si>
  <si>
    <t>p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</si>
  <si>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</si>
  <si>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</si>
  <si>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</si>
  <si>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</si>
  <si>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</si>
  <si>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</si>
  <si>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</si>
  <si>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</si>
  <si>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</si>
  <si>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</si>
  <si>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</si>
  <si>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</si>
  <si>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</si>
  <si>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</si>
  <si>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</si>
  <si>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</si>
  <si>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</si>
  <si>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</si>
  <si>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</si>
  <si>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</si>
  <si>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</si>
  <si>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</si>
  <si>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</si>
  <si>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</si>
  <si>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</si>
  <si>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</si>
  <si>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</si>
  <si>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</si>
  <si>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</si>
  <si>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</si>
  <si>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Bosnia and Herzegovina</t>
  </si>
  <si>
    <t>Montenegro</t>
  </si>
  <si>
    <t>North Macedonia</t>
  </si>
  <si>
    <t>e</t>
  </si>
  <si>
    <t>Albania</t>
  </si>
  <si>
    <t>Serbia</t>
  </si>
  <si>
    <t>Türkiye</t>
  </si>
  <si>
    <t>Kosovo*</t>
  </si>
  <si>
    <t>C</t>
  </si>
  <si>
    <t>Special value</t>
  </si>
  <si>
    <t>not available</t>
  </si>
  <si>
    <t>Observation flags:</t>
  </si>
  <si>
    <t>break in time series</t>
  </si>
  <si>
    <t>estimated</t>
  </si>
  <si>
    <t>provisional</t>
  </si>
  <si>
    <t>Confidentiality flags:</t>
  </si>
  <si>
    <t>confidential</t>
  </si>
  <si>
    <t>GVA</t>
  </si>
  <si>
    <t>Daty</t>
  </si>
  <si>
    <t>Przyrost kwartalny</t>
  </si>
  <si>
    <t>Wahania losowe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</si>
</sst>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########"/>
    <numFmt numFmtId="165" formatCode="#,##0.0"/>
    <numFmt numFmtId="166" formatCode="#,##0.000"/>
  </numFmts>
  <fonts count="7" x14ac:knownFonts="1">
    <font>
      <sz val="11"/>
      <color theme="1"/>
      <name val="Aptos Narrow"/>
      <family val="2"/>
      <charset val="238"/>
      <scheme val="minor"/>
    </font>
    <font>
      <sz val="11"/>
      <name val="Aptos Narrow"/>
      <family val="2"/>
    </font>
    <font>
      <sz val="11"/>
      <color indexed="8"/>
      <name val="Aptos Narrow"/>
      <family val="2"/>
      <scheme val="minor"/>
    </font>
    <font>
      <sz val="18"/>
      <color theme="1"/>
      <name val="Aptos Narrow"/>
      <family val="2"/>
      <charset val="238"/>
      <scheme val="minor"/>
    </font>
    <font>
      <sz val="9"/>
      <name val="Arial"/>
      <family val="2"/>
      <charset val="238"/>
    </font>
    <font>
      <b/>
      <sz val="9"/>
      <name val="Arial"/>
      <family val="2"/>
      <charset val="238"/>
    </font>
    <font>
      <b/>
      <sz val="9"/>
      <color indexed="9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mediumGray">
        <bgColor indexed="22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164" fontId="1" fillId="0" borderId="0" xfId="0" applyNumberFormat="1" applyFont="1" applyAlignment="1">
      <alignment horizontal="right" vertical="center" shrinkToFit="1"/>
    </xf>
    <xf numFmtId="165" fontId="1" fillId="0" borderId="0" xfId="0" applyNumberFormat="1" applyFont="1" applyAlignment="1">
      <alignment horizontal="right" vertical="center" shrinkToFit="1"/>
    </xf>
    <xf numFmtId="165" fontId="0" fillId="0" borderId="0" xfId="0" applyNumberFormat="1"/>
    <xf numFmtId="166" fontId="0" fillId="0" borderId="0" xfId="0" applyNumberFormat="1"/>
    <xf numFmtId="165" fontId="0" fillId="2" borderId="0" xfId="0" applyNumberFormat="1" applyFill="1"/>
    <xf numFmtId="0" fontId="4" fillId="0" borderId="0" xfId="1" applyFont="1" applyAlignment="1">
      <alignment horizontal="left" vertical="center"/>
    </xf>
    <xf numFmtId="0" fontId="2" fillId="0" borderId="0" xfId="1"/>
    <xf numFmtId="0" fontId="5" fillId="0" borderId="0" xfId="1" applyFont="1" applyAlignment="1">
      <alignment horizontal="left" vertical="center"/>
    </xf>
    <xf numFmtId="0" fontId="6" fillId="4" borderId="1" xfId="1" applyFont="1" applyFill="1" applyBorder="1" applyAlignment="1">
      <alignment horizontal="right" vertical="center"/>
    </xf>
    <xf numFmtId="0" fontId="5" fillId="5" borderId="1" xfId="1" applyFont="1" applyFill="1" applyBorder="1" applyAlignment="1">
      <alignment horizontal="left" vertical="center"/>
    </xf>
    <xf numFmtId="0" fontId="2" fillId="6" borderId="0" xfId="1" applyFill="1"/>
    <xf numFmtId="0" fontId="5" fillId="7" borderId="1" xfId="1" applyFont="1" applyFill="1" applyBorder="1" applyAlignment="1">
      <alignment horizontal="left" vertical="center"/>
    </xf>
    <xf numFmtId="3" fontId="4" fillId="8" borderId="0" xfId="1" applyNumberFormat="1" applyFont="1" applyFill="1" applyAlignment="1">
      <alignment horizontal="right" vertical="center" shrinkToFit="1"/>
    </xf>
    <xf numFmtId="164" fontId="4" fillId="8" borderId="0" xfId="1" applyNumberFormat="1" applyFont="1" applyFill="1" applyAlignment="1">
      <alignment horizontal="right" vertical="center" shrinkToFit="1"/>
    </xf>
    <xf numFmtId="165" fontId="4" fillId="8" borderId="0" xfId="1" applyNumberFormat="1" applyFont="1" applyFill="1" applyAlignment="1">
      <alignment horizontal="right" vertical="center" shrinkToFit="1"/>
    </xf>
    <xf numFmtId="3" fontId="4" fillId="0" borderId="0" xfId="1" applyNumberFormat="1" applyFont="1" applyAlignment="1">
      <alignment horizontal="right" vertical="center" shrinkToFit="1"/>
    </xf>
    <xf numFmtId="164" fontId="4" fillId="0" borderId="0" xfId="1" applyNumberFormat="1" applyFont="1" applyAlignment="1">
      <alignment horizontal="right" vertical="center" shrinkToFit="1"/>
    </xf>
    <xf numFmtId="165" fontId="4" fillId="0" borderId="0" xfId="1" applyNumberFormat="1" applyFont="1" applyAlignment="1">
      <alignment horizontal="right" vertical="center" shrinkToFit="1"/>
    </xf>
    <xf numFmtId="0" fontId="0" fillId="3" borderId="0" xfId="0" applyFill="1"/>
    <xf numFmtId="165" fontId="0" fillId="3" borderId="0" xfId="0" applyNumberFormat="1" applyFill="1"/>
    <xf numFmtId="0" fontId="6" fillId="4" borderId="1" xfId="1" applyFont="1" applyFill="1" applyBorder="1" applyAlignment="1">
      <alignment horizontal="left" vertical="center"/>
    </xf>
    <xf numFmtId="0" fontId="3" fillId="3" borderId="0" xfId="0" applyFont="1" applyFill="1" applyAlignment="1">
      <alignment horizontal="center"/>
    </xf>
  </cellXfs>
  <cellStyles count="2">
    <cellStyle name="Normalny" xfId="0" builtinId="0"/>
    <cellStyle name="Normalny 2" xfId="1" xr:uid="{BC3F06EC-B434-4516-B74B-CA32114D5F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Analiza zmian wartości dodanej brutto (GVA) - ceny stałe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'Analiza GVA - Grecja'!$B$2</c:f>
              <c:strCache>
                <c:ptCount val="1"/>
                <c:pt idx="0">
                  <c:v>GVA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'Analiza GVA - Grecja'!$A$3:$A$62</c:f>
              <c:numCache>
                <c:formatCode>General</c:formatCode>
                <c:ptCount val="60"/>
                <c:pt idx="0">
                  <c:v>2010.1</c:v>
                </c:pt>
                <c:pt idx="1">
                  <c:v>2010.1999999999998</c:v>
                </c:pt>
                <c:pt idx="2">
                  <c:v>2010.2999999999997</c:v>
                </c:pt>
                <c:pt idx="3">
                  <c:v>2010.3999999999996</c:v>
                </c:pt>
                <c:pt idx="4">
                  <c:v>2011.1</c:v>
                </c:pt>
                <c:pt idx="5">
                  <c:v>2011.1999999999998</c:v>
                </c:pt>
                <c:pt idx="6">
                  <c:v>2011.2999999999997</c:v>
                </c:pt>
                <c:pt idx="7">
                  <c:v>2011.3999999999996</c:v>
                </c:pt>
                <c:pt idx="8">
                  <c:v>2012.1</c:v>
                </c:pt>
                <c:pt idx="9">
                  <c:v>2012.1999999999998</c:v>
                </c:pt>
                <c:pt idx="10">
                  <c:v>2012.2999999999997</c:v>
                </c:pt>
                <c:pt idx="11">
                  <c:v>2012.3999999999996</c:v>
                </c:pt>
                <c:pt idx="12">
                  <c:v>2013.1</c:v>
                </c:pt>
                <c:pt idx="13">
                  <c:v>2013.1999999999998</c:v>
                </c:pt>
                <c:pt idx="14">
                  <c:v>2013.2999999999997</c:v>
                </c:pt>
                <c:pt idx="15">
                  <c:v>2013.3999999999996</c:v>
                </c:pt>
                <c:pt idx="16">
                  <c:v>2014.1</c:v>
                </c:pt>
                <c:pt idx="17">
                  <c:v>2014.1999999999998</c:v>
                </c:pt>
                <c:pt idx="18">
                  <c:v>2014.2999999999997</c:v>
                </c:pt>
                <c:pt idx="19">
                  <c:v>2014.3999999999996</c:v>
                </c:pt>
                <c:pt idx="20">
                  <c:v>2015.1</c:v>
                </c:pt>
                <c:pt idx="21">
                  <c:v>2015.1999999999998</c:v>
                </c:pt>
                <c:pt idx="22">
                  <c:v>2015.2999999999997</c:v>
                </c:pt>
                <c:pt idx="23">
                  <c:v>2015.3999999999996</c:v>
                </c:pt>
                <c:pt idx="24">
                  <c:v>2016.1</c:v>
                </c:pt>
                <c:pt idx="25">
                  <c:v>2016.1999999999998</c:v>
                </c:pt>
                <c:pt idx="26">
                  <c:v>2016.2999999999997</c:v>
                </c:pt>
                <c:pt idx="27">
                  <c:v>2016.3999999999996</c:v>
                </c:pt>
                <c:pt idx="28">
                  <c:v>2017.1</c:v>
                </c:pt>
                <c:pt idx="29">
                  <c:v>2017.1999999999998</c:v>
                </c:pt>
                <c:pt idx="30">
                  <c:v>2017.2999999999997</c:v>
                </c:pt>
                <c:pt idx="31">
                  <c:v>2017.3999999999996</c:v>
                </c:pt>
                <c:pt idx="32">
                  <c:v>2018.1</c:v>
                </c:pt>
                <c:pt idx="33">
                  <c:v>2018.1999999999998</c:v>
                </c:pt>
                <c:pt idx="34">
                  <c:v>2018.2999999999997</c:v>
                </c:pt>
                <c:pt idx="35">
                  <c:v>2018.3999999999996</c:v>
                </c:pt>
                <c:pt idx="36">
                  <c:v>2019.1</c:v>
                </c:pt>
                <c:pt idx="37">
                  <c:v>2019.1999999999998</c:v>
                </c:pt>
                <c:pt idx="38">
                  <c:v>2019.2999999999997</c:v>
                </c:pt>
                <c:pt idx="39">
                  <c:v>2019.3999999999996</c:v>
                </c:pt>
                <c:pt idx="40">
                  <c:v>2020.1</c:v>
                </c:pt>
                <c:pt idx="41">
                  <c:v>2020.1999999999998</c:v>
                </c:pt>
                <c:pt idx="42">
                  <c:v>2020.2999999999997</c:v>
                </c:pt>
                <c:pt idx="43">
                  <c:v>2020.3999999999996</c:v>
                </c:pt>
                <c:pt idx="44">
                  <c:v>2021.1</c:v>
                </c:pt>
                <c:pt idx="45">
                  <c:v>2021.1999999999998</c:v>
                </c:pt>
                <c:pt idx="46">
                  <c:v>2021.2999999999997</c:v>
                </c:pt>
                <c:pt idx="47">
                  <c:v>2021.3999999999996</c:v>
                </c:pt>
                <c:pt idx="48">
                  <c:v>2022.1</c:v>
                </c:pt>
                <c:pt idx="49">
                  <c:v>2022.1999999999998</c:v>
                </c:pt>
                <c:pt idx="50">
                  <c:v>2022.2999999999997</c:v>
                </c:pt>
                <c:pt idx="51">
                  <c:v>2022.3999999999996</c:v>
                </c:pt>
                <c:pt idx="52">
                  <c:v>2023.1</c:v>
                </c:pt>
                <c:pt idx="53">
                  <c:v>2023.1999999999998</c:v>
                </c:pt>
                <c:pt idx="54">
                  <c:v>2023.2999999999997</c:v>
                </c:pt>
                <c:pt idx="55">
                  <c:v>2023.3999999999996</c:v>
                </c:pt>
                <c:pt idx="56">
                  <c:v>2024.1</c:v>
                </c:pt>
                <c:pt idx="57">
                  <c:v>2024.1999999999998</c:v>
                </c:pt>
                <c:pt idx="58">
                  <c:v>2024.2999999999997</c:v>
                </c:pt>
                <c:pt idx="59">
                  <c:v>2024.3999999999996</c:v>
                </c:pt>
              </c:numCache>
            </c:numRef>
          </c:cat>
          <c:val>
            <c:numRef>
              <c:f>'Analiza GVA - Grecja'!$B$3:$B$64</c:f>
              <c:numCache>
                <c:formatCode>#\ ##0.0</c:formatCode>
                <c:ptCount val="62"/>
                <c:pt idx="0">
                  <c:v>54167.537003504571</c:v>
                </c:pt>
                <c:pt idx="1">
                  <c:v>54942.822907253605</c:v>
                </c:pt>
                <c:pt idx="2">
                  <c:v>54050.572721763041</c:v>
                </c:pt>
                <c:pt idx="3">
                  <c:v>54067.769887054346</c:v>
                </c:pt>
                <c:pt idx="4">
                  <c:v>48812.975791330886</c:v>
                </c:pt>
                <c:pt idx="5">
                  <c:v>50570.502526341406</c:v>
                </c:pt>
                <c:pt idx="6">
                  <c:v>50598.418472738944</c:v>
                </c:pt>
                <c:pt idx="7">
                  <c:v>47968.31228239982</c:v>
                </c:pt>
                <c:pt idx="8">
                  <c:v>44522.754206364174</c:v>
                </c:pt>
                <c:pt idx="9">
                  <c:v>46145.17718391493</c:v>
                </c:pt>
                <c:pt idx="10">
                  <c:v>46941.429494662945</c:v>
                </c:pt>
                <c:pt idx="11">
                  <c:v>46091.465489580449</c:v>
                </c:pt>
                <c:pt idx="12">
                  <c:v>42101.13419798125</c:v>
                </c:pt>
                <c:pt idx="13">
                  <c:v>45020.765266991766</c:v>
                </c:pt>
                <c:pt idx="14">
                  <c:v>46948.025667651396</c:v>
                </c:pt>
                <c:pt idx="15">
                  <c:v>46572.27938491675</c:v>
                </c:pt>
                <c:pt idx="16">
                  <c:v>42502.205073439385</c:v>
                </c:pt>
                <c:pt idx="17">
                  <c:v>45152.924304367407</c:v>
                </c:pt>
                <c:pt idx="18">
                  <c:v>47006.33112531712</c:v>
                </c:pt>
                <c:pt idx="19">
                  <c:v>46189.347985176835</c:v>
                </c:pt>
                <c:pt idx="20">
                  <c:v>42803.273254840555</c:v>
                </c:pt>
                <c:pt idx="21">
                  <c:v>45218.17930143165</c:v>
                </c:pt>
                <c:pt idx="22">
                  <c:v>46188.523463553276</c:v>
                </c:pt>
                <c:pt idx="23">
                  <c:v>46653.671448042027</c:v>
                </c:pt>
                <c:pt idx="24">
                  <c:v>42201.136892038208</c:v>
                </c:pt>
                <c:pt idx="25">
                  <c:v>44919.702473704514</c:v>
                </c:pt>
                <c:pt idx="26">
                  <c:v>46927.294838259128</c:v>
                </c:pt>
                <c:pt idx="27">
                  <c:v>46187.934519536451</c:v>
                </c:pt>
                <c:pt idx="28">
                  <c:v>42947.211172552692</c:v>
                </c:pt>
                <c:pt idx="29">
                  <c:v>45765.543870669237</c:v>
                </c:pt>
                <c:pt idx="30">
                  <c:v>49129.94546118634</c:v>
                </c:pt>
                <c:pt idx="31">
                  <c:v>46441.651601984864</c:v>
                </c:pt>
                <c:pt idx="32">
                  <c:v>43493.633431363356</c:v>
                </c:pt>
                <c:pt idx="33">
                  <c:v>46897.965426221235</c:v>
                </c:pt>
                <c:pt idx="34">
                  <c:v>49690.737954007549</c:v>
                </c:pt>
                <c:pt idx="35">
                  <c:v>47382.784140871947</c:v>
                </c:pt>
                <c:pt idx="36">
                  <c:v>43867.612882047521</c:v>
                </c:pt>
                <c:pt idx="37">
                  <c:v>47970.314692057022</c:v>
                </c:pt>
                <c:pt idx="38">
                  <c:v>51163.569151284646</c:v>
                </c:pt>
                <c:pt idx="39">
                  <c:v>47785.150693167096</c:v>
                </c:pt>
                <c:pt idx="40">
                  <c:v>42853.686862680821</c:v>
                </c:pt>
                <c:pt idx="41">
                  <c:v>40544.437372708206</c:v>
                </c:pt>
                <c:pt idx="42">
                  <c:v>45910.541887611667</c:v>
                </c:pt>
                <c:pt idx="43">
                  <c:v>44119.209766035354</c:v>
                </c:pt>
                <c:pt idx="44">
                  <c:v>42176.401243331544</c:v>
                </c:pt>
                <c:pt idx="45">
                  <c:v>45747.993338967841</c:v>
                </c:pt>
                <c:pt idx="46">
                  <c:v>51321.406147793867</c:v>
                </c:pt>
                <c:pt idx="47">
                  <c:v>48273.267494312036</c:v>
                </c:pt>
                <c:pt idx="48">
                  <c:v>44808.038688114408</c:v>
                </c:pt>
                <c:pt idx="49">
                  <c:v>48741.006832474814</c:v>
                </c:pt>
                <c:pt idx="50">
                  <c:v>53648.206169467885</c:v>
                </c:pt>
                <c:pt idx="51">
                  <c:v>50252.119390845575</c:v>
                </c:pt>
                <c:pt idx="52">
                  <c:v>46139.641110156772</c:v>
                </c:pt>
                <c:pt idx="53">
                  <c:v>49919.483810142548</c:v>
                </c:pt>
                <c:pt idx="54">
                  <c:v>54355.52793367525</c:v>
                </c:pt>
                <c:pt idx="55">
                  <c:v>51381.596226313428</c:v>
                </c:pt>
                <c:pt idx="56">
                  <c:v>46441.887179591591</c:v>
                </c:pt>
                <c:pt idx="57">
                  <c:v>51057.677017059439</c:v>
                </c:pt>
                <c:pt idx="58">
                  <c:v>55424.343535410102</c:v>
                </c:pt>
                <c:pt idx="59">
                  <c:v>52502.592267939013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BB-4AFE-AF6E-18D5680907C3}"/>
            </c:ext>
          </c:extLst>
        </c:ser>
        <c:ser>
          <c:idx val="1"/>
          <c:order val="1"/>
          <c:tx>
            <c:strRef>
              <c:f>'Analiza GVA - Grecja'!$C$2</c:f>
              <c:strCache>
                <c:ptCount val="1"/>
                <c:pt idx="0">
                  <c:v>Przyrost kwartalny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'Analiza GVA - Grecja'!$A$3:$A$62</c:f>
              <c:numCache>
                <c:formatCode>General</c:formatCode>
                <c:ptCount val="60"/>
                <c:pt idx="0">
                  <c:v>2010.1</c:v>
                </c:pt>
                <c:pt idx="1">
                  <c:v>2010.1999999999998</c:v>
                </c:pt>
                <c:pt idx="2">
                  <c:v>2010.2999999999997</c:v>
                </c:pt>
                <c:pt idx="3">
                  <c:v>2010.3999999999996</c:v>
                </c:pt>
                <c:pt idx="4">
                  <c:v>2011.1</c:v>
                </c:pt>
                <c:pt idx="5">
                  <c:v>2011.1999999999998</c:v>
                </c:pt>
                <c:pt idx="6">
                  <c:v>2011.2999999999997</c:v>
                </c:pt>
                <c:pt idx="7">
                  <c:v>2011.3999999999996</c:v>
                </c:pt>
                <c:pt idx="8">
                  <c:v>2012.1</c:v>
                </c:pt>
                <c:pt idx="9">
                  <c:v>2012.1999999999998</c:v>
                </c:pt>
                <c:pt idx="10">
                  <c:v>2012.2999999999997</c:v>
                </c:pt>
                <c:pt idx="11">
                  <c:v>2012.3999999999996</c:v>
                </c:pt>
                <c:pt idx="12">
                  <c:v>2013.1</c:v>
                </c:pt>
                <c:pt idx="13">
                  <c:v>2013.1999999999998</c:v>
                </c:pt>
                <c:pt idx="14">
                  <c:v>2013.2999999999997</c:v>
                </c:pt>
                <c:pt idx="15">
                  <c:v>2013.3999999999996</c:v>
                </c:pt>
                <c:pt idx="16">
                  <c:v>2014.1</c:v>
                </c:pt>
                <c:pt idx="17">
                  <c:v>2014.1999999999998</c:v>
                </c:pt>
                <c:pt idx="18">
                  <c:v>2014.2999999999997</c:v>
                </c:pt>
                <c:pt idx="19">
                  <c:v>2014.3999999999996</c:v>
                </c:pt>
                <c:pt idx="20">
                  <c:v>2015.1</c:v>
                </c:pt>
                <c:pt idx="21">
                  <c:v>2015.1999999999998</c:v>
                </c:pt>
                <c:pt idx="22">
                  <c:v>2015.2999999999997</c:v>
                </c:pt>
                <c:pt idx="23">
                  <c:v>2015.3999999999996</c:v>
                </c:pt>
                <c:pt idx="24">
                  <c:v>2016.1</c:v>
                </c:pt>
                <c:pt idx="25">
                  <c:v>2016.1999999999998</c:v>
                </c:pt>
                <c:pt idx="26">
                  <c:v>2016.2999999999997</c:v>
                </c:pt>
                <c:pt idx="27">
                  <c:v>2016.3999999999996</c:v>
                </c:pt>
                <c:pt idx="28">
                  <c:v>2017.1</c:v>
                </c:pt>
                <c:pt idx="29">
                  <c:v>2017.1999999999998</c:v>
                </c:pt>
                <c:pt idx="30">
                  <c:v>2017.2999999999997</c:v>
                </c:pt>
                <c:pt idx="31">
                  <c:v>2017.3999999999996</c:v>
                </c:pt>
                <c:pt idx="32">
                  <c:v>2018.1</c:v>
                </c:pt>
                <c:pt idx="33">
                  <c:v>2018.1999999999998</c:v>
                </c:pt>
                <c:pt idx="34">
                  <c:v>2018.2999999999997</c:v>
                </c:pt>
                <c:pt idx="35">
                  <c:v>2018.3999999999996</c:v>
                </c:pt>
                <c:pt idx="36">
                  <c:v>2019.1</c:v>
                </c:pt>
                <c:pt idx="37">
                  <c:v>2019.1999999999998</c:v>
                </c:pt>
                <c:pt idx="38">
                  <c:v>2019.2999999999997</c:v>
                </c:pt>
                <c:pt idx="39">
                  <c:v>2019.3999999999996</c:v>
                </c:pt>
                <c:pt idx="40">
                  <c:v>2020.1</c:v>
                </c:pt>
                <c:pt idx="41">
                  <c:v>2020.1999999999998</c:v>
                </c:pt>
                <c:pt idx="42">
                  <c:v>2020.2999999999997</c:v>
                </c:pt>
                <c:pt idx="43">
                  <c:v>2020.3999999999996</c:v>
                </c:pt>
                <c:pt idx="44">
                  <c:v>2021.1</c:v>
                </c:pt>
                <c:pt idx="45">
                  <c:v>2021.1999999999998</c:v>
                </c:pt>
                <c:pt idx="46">
                  <c:v>2021.2999999999997</c:v>
                </c:pt>
                <c:pt idx="47">
                  <c:v>2021.3999999999996</c:v>
                </c:pt>
                <c:pt idx="48">
                  <c:v>2022.1</c:v>
                </c:pt>
                <c:pt idx="49">
                  <c:v>2022.1999999999998</c:v>
                </c:pt>
                <c:pt idx="50">
                  <c:v>2022.2999999999997</c:v>
                </c:pt>
                <c:pt idx="51">
                  <c:v>2022.3999999999996</c:v>
                </c:pt>
                <c:pt idx="52">
                  <c:v>2023.1</c:v>
                </c:pt>
                <c:pt idx="53">
                  <c:v>2023.1999999999998</c:v>
                </c:pt>
                <c:pt idx="54">
                  <c:v>2023.2999999999997</c:v>
                </c:pt>
                <c:pt idx="55">
                  <c:v>2023.3999999999996</c:v>
                </c:pt>
                <c:pt idx="56">
                  <c:v>2024.1</c:v>
                </c:pt>
                <c:pt idx="57">
                  <c:v>2024.1999999999998</c:v>
                </c:pt>
                <c:pt idx="58">
                  <c:v>2024.2999999999997</c:v>
                </c:pt>
                <c:pt idx="59">
                  <c:v>2024.3999999999996</c:v>
                </c:pt>
              </c:numCache>
            </c:numRef>
          </c:cat>
          <c:val>
            <c:numRef>
              <c:f>'Analiza GVA - Grecja'!$C$3:$C$64</c:f>
              <c:numCache>
                <c:formatCode>General</c:formatCode>
                <c:ptCount val="62"/>
                <c:pt idx="1">
                  <c:v>775.28590374903433</c:v>
                </c:pt>
                <c:pt idx="2">
                  <c:v>-892.25018549056404</c:v>
                </c:pt>
                <c:pt idx="3">
                  <c:v>17.197165291305282</c:v>
                </c:pt>
                <c:pt idx="4">
                  <c:v>-5254.7940957234605</c:v>
                </c:pt>
                <c:pt idx="5">
                  <c:v>1757.5267350105205</c:v>
                </c:pt>
                <c:pt idx="6">
                  <c:v>27.915946397537482</c:v>
                </c:pt>
                <c:pt idx="7">
                  <c:v>-2630.1061903391237</c:v>
                </c:pt>
                <c:pt idx="8">
                  <c:v>-3445.5580760356461</c:v>
                </c:pt>
                <c:pt idx="9">
                  <c:v>1622.4229775507556</c:v>
                </c:pt>
                <c:pt idx="10">
                  <c:v>796.25231074801559</c:v>
                </c:pt>
                <c:pt idx="11">
                  <c:v>-849.96400508249644</c:v>
                </c:pt>
                <c:pt idx="12">
                  <c:v>-3990.3312915991992</c:v>
                </c:pt>
                <c:pt idx="13">
                  <c:v>2919.6310690105165</c:v>
                </c:pt>
                <c:pt idx="14">
                  <c:v>1927.2604006596302</c:v>
                </c:pt>
                <c:pt idx="15">
                  <c:v>-375.74628273464623</c:v>
                </c:pt>
                <c:pt idx="16">
                  <c:v>-4070.074311477365</c:v>
                </c:pt>
                <c:pt idx="17">
                  <c:v>2650.7192309280217</c:v>
                </c:pt>
                <c:pt idx="18">
                  <c:v>1853.4068209497127</c:v>
                </c:pt>
                <c:pt idx="19">
                  <c:v>-816.98314014028438</c:v>
                </c:pt>
                <c:pt idx="20">
                  <c:v>-3386.0747303362805</c:v>
                </c:pt>
                <c:pt idx="21">
                  <c:v>2414.9060465910952</c:v>
                </c:pt>
                <c:pt idx="22">
                  <c:v>970.34416212162614</c:v>
                </c:pt>
                <c:pt idx="23">
                  <c:v>465.14798448875081</c:v>
                </c:pt>
                <c:pt idx="24">
                  <c:v>-4452.5345560038186</c:v>
                </c:pt>
                <c:pt idx="25">
                  <c:v>2718.5655816663057</c:v>
                </c:pt>
                <c:pt idx="26">
                  <c:v>2007.5923645546136</c:v>
                </c:pt>
                <c:pt idx="27">
                  <c:v>-739.36031872267631</c:v>
                </c:pt>
                <c:pt idx="28">
                  <c:v>-3240.7233469837593</c:v>
                </c:pt>
                <c:pt idx="29">
                  <c:v>2818.3326981165446</c:v>
                </c:pt>
                <c:pt idx="30">
                  <c:v>3364.4015905171036</c:v>
                </c:pt>
                <c:pt idx="31">
                  <c:v>-2688.2938592014762</c:v>
                </c:pt>
                <c:pt idx="32">
                  <c:v>-2948.018170621508</c:v>
                </c:pt>
                <c:pt idx="33">
                  <c:v>3404.3319948578792</c:v>
                </c:pt>
                <c:pt idx="34">
                  <c:v>2792.7725277863137</c:v>
                </c:pt>
                <c:pt idx="35">
                  <c:v>-2307.9538131356021</c:v>
                </c:pt>
                <c:pt idx="36">
                  <c:v>-3515.1712588244263</c:v>
                </c:pt>
                <c:pt idx="37">
                  <c:v>4102.7018100095011</c:v>
                </c:pt>
                <c:pt idx="38">
                  <c:v>3193.2544592276245</c:v>
                </c:pt>
                <c:pt idx="39">
                  <c:v>-3378.4184581175505</c:v>
                </c:pt>
                <c:pt idx="40">
                  <c:v>-4931.4638304862747</c:v>
                </c:pt>
                <c:pt idx="41">
                  <c:v>-2309.2494899726153</c:v>
                </c:pt>
                <c:pt idx="42">
                  <c:v>5366.1045149034617</c:v>
                </c:pt>
                <c:pt idx="43">
                  <c:v>-1791.3321215763135</c:v>
                </c:pt>
                <c:pt idx="44">
                  <c:v>-1942.80852270381</c:v>
                </c:pt>
                <c:pt idx="45">
                  <c:v>3571.592095636297</c:v>
                </c:pt>
                <c:pt idx="46">
                  <c:v>5573.4128088260259</c:v>
                </c:pt>
                <c:pt idx="47">
                  <c:v>-3048.1386534818303</c:v>
                </c:pt>
                <c:pt idx="48">
                  <c:v>-3465.2288061976287</c:v>
                </c:pt>
                <c:pt idx="49">
                  <c:v>3932.9681443604059</c:v>
                </c:pt>
                <c:pt idx="50">
                  <c:v>4907.1993369930715</c:v>
                </c:pt>
                <c:pt idx="51">
                  <c:v>-3396.0867786223098</c:v>
                </c:pt>
                <c:pt idx="52">
                  <c:v>-4112.4782806888034</c:v>
                </c:pt>
                <c:pt idx="53">
                  <c:v>3779.8426999857766</c:v>
                </c:pt>
                <c:pt idx="54">
                  <c:v>4436.0441235327016</c:v>
                </c:pt>
                <c:pt idx="55">
                  <c:v>-2973.9317073618222</c:v>
                </c:pt>
                <c:pt idx="56">
                  <c:v>-4939.7090467218368</c:v>
                </c:pt>
                <c:pt idx="57">
                  <c:v>4615.789837467848</c:v>
                </c:pt>
                <c:pt idx="58">
                  <c:v>4366.666518350663</c:v>
                </c:pt>
                <c:pt idx="59">
                  <c:v>-2921.7512674710888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BB-4AFE-AF6E-18D5680907C3}"/>
            </c:ext>
          </c:extLst>
        </c:ser>
        <c:ser>
          <c:idx val="2"/>
          <c:order val="2"/>
          <c:tx>
            <c:strRef>
              <c:f>'Analiza GVA - Grecja'!$D$2</c:f>
              <c:strCache>
                <c:ptCount val="1"/>
                <c:pt idx="0">
                  <c:v>Wahania losowe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'Analiza GVA - Grecja'!$A$3:$A$62</c:f>
              <c:numCache>
                <c:formatCode>General</c:formatCode>
                <c:ptCount val="60"/>
                <c:pt idx="0">
                  <c:v>2010.1</c:v>
                </c:pt>
                <c:pt idx="1">
                  <c:v>2010.1999999999998</c:v>
                </c:pt>
                <c:pt idx="2">
                  <c:v>2010.2999999999997</c:v>
                </c:pt>
                <c:pt idx="3">
                  <c:v>2010.3999999999996</c:v>
                </c:pt>
                <c:pt idx="4">
                  <c:v>2011.1</c:v>
                </c:pt>
                <c:pt idx="5">
                  <c:v>2011.1999999999998</c:v>
                </c:pt>
                <c:pt idx="6">
                  <c:v>2011.2999999999997</c:v>
                </c:pt>
                <c:pt idx="7">
                  <c:v>2011.3999999999996</c:v>
                </c:pt>
                <c:pt idx="8">
                  <c:v>2012.1</c:v>
                </c:pt>
                <c:pt idx="9">
                  <c:v>2012.1999999999998</c:v>
                </c:pt>
                <c:pt idx="10">
                  <c:v>2012.2999999999997</c:v>
                </c:pt>
                <c:pt idx="11">
                  <c:v>2012.3999999999996</c:v>
                </c:pt>
                <c:pt idx="12">
                  <c:v>2013.1</c:v>
                </c:pt>
                <c:pt idx="13">
                  <c:v>2013.1999999999998</c:v>
                </c:pt>
                <c:pt idx="14">
                  <c:v>2013.2999999999997</c:v>
                </c:pt>
                <c:pt idx="15">
                  <c:v>2013.3999999999996</c:v>
                </c:pt>
                <c:pt idx="16">
                  <c:v>2014.1</c:v>
                </c:pt>
                <c:pt idx="17">
                  <c:v>2014.1999999999998</c:v>
                </c:pt>
                <c:pt idx="18">
                  <c:v>2014.2999999999997</c:v>
                </c:pt>
                <c:pt idx="19">
                  <c:v>2014.3999999999996</c:v>
                </c:pt>
                <c:pt idx="20">
                  <c:v>2015.1</c:v>
                </c:pt>
                <c:pt idx="21">
                  <c:v>2015.1999999999998</c:v>
                </c:pt>
                <c:pt idx="22">
                  <c:v>2015.2999999999997</c:v>
                </c:pt>
                <c:pt idx="23">
                  <c:v>2015.3999999999996</c:v>
                </c:pt>
                <c:pt idx="24">
                  <c:v>2016.1</c:v>
                </c:pt>
                <c:pt idx="25">
                  <c:v>2016.1999999999998</c:v>
                </c:pt>
                <c:pt idx="26">
                  <c:v>2016.2999999999997</c:v>
                </c:pt>
                <c:pt idx="27">
                  <c:v>2016.3999999999996</c:v>
                </c:pt>
                <c:pt idx="28">
                  <c:v>2017.1</c:v>
                </c:pt>
                <c:pt idx="29">
                  <c:v>2017.1999999999998</c:v>
                </c:pt>
                <c:pt idx="30">
                  <c:v>2017.2999999999997</c:v>
                </c:pt>
                <c:pt idx="31">
                  <c:v>2017.3999999999996</c:v>
                </c:pt>
                <c:pt idx="32">
                  <c:v>2018.1</c:v>
                </c:pt>
                <c:pt idx="33">
                  <c:v>2018.1999999999998</c:v>
                </c:pt>
                <c:pt idx="34">
                  <c:v>2018.2999999999997</c:v>
                </c:pt>
                <c:pt idx="35">
                  <c:v>2018.3999999999996</c:v>
                </c:pt>
                <c:pt idx="36">
                  <c:v>2019.1</c:v>
                </c:pt>
                <c:pt idx="37">
                  <c:v>2019.1999999999998</c:v>
                </c:pt>
                <c:pt idx="38">
                  <c:v>2019.2999999999997</c:v>
                </c:pt>
                <c:pt idx="39">
                  <c:v>2019.3999999999996</c:v>
                </c:pt>
                <c:pt idx="40">
                  <c:v>2020.1</c:v>
                </c:pt>
                <c:pt idx="41">
                  <c:v>2020.1999999999998</c:v>
                </c:pt>
                <c:pt idx="42">
                  <c:v>2020.2999999999997</c:v>
                </c:pt>
                <c:pt idx="43">
                  <c:v>2020.3999999999996</c:v>
                </c:pt>
                <c:pt idx="44">
                  <c:v>2021.1</c:v>
                </c:pt>
                <c:pt idx="45">
                  <c:v>2021.1999999999998</c:v>
                </c:pt>
                <c:pt idx="46">
                  <c:v>2021.2999999999997</c:v>
                </c:pt>
                <c:pt idx="47">
                  <c:v>2021.3999999999996</c:v>
                </c:pt>
                <c:pt idx="48">
                  <c:v>2022.1</c:v>
                </c:pt>
                <c:pt idx="49">
                  <c:v>2022.1999999999998</c:v>
                </c:pt>
                <c:pt idx="50">
                  <c:v>2022.2999999999997</c:v>
                </c:pt>
                <c:pt idx="51">
                  <c:v>2022.3999999999996</c:v>
                </c:pt>
                <c:pt idx="52">
                  <c:v>2023.1</c:v>
                </c:pt>
                <c:pt idx="53">
                  <c:v>2023.1999999999998</c:v>
                </c:pt>
                <c:pt idx="54">
                  <c:v>2023.2999999999997</c:v>
                </c:pt>
                <c:pt idx="55">
                  <c:v>2023.3999999999996</c:v>
                </c:pt>
                <c:pt idx="56">
                  <c:v>2024.1</c:v>
                </c:pt>
                <c:pt idx="57">
                  <c:v>2024.1999999999998</c:v>
                </c:pt>
                <c:pt idx="58">
                  <c:v>2024.2999999999997</c:v>
                </c:pt>
                <c:pt idx="59">
                  <c:v>2024.3999999999996</c:v>
                </c:pt>
              </c:numCache>
            </c:numRef>
          </c:cat>
          <c:val>
            <c:numRef>
              <c:f>'Analiza GVA - Grecja'!$D$3:$D$64</c:f>
              <c:numCache>
                <c:formatCode>General</c:formatCode>
                <c:ptCount val="62"/>
                <c:pt idx="1">
                  <c:v>-1879.8734742791648</c:v>
                </c:pt>
                <c:pt idx="2">
                  <c:v>-3505.5336807757503</c:v>
                </c:pt>
                <c:pt idx="3">
                  <c:v>1776.110372674776</c:v>
                </c:pt>
                <c:pt idx="4">
                  <c:v>-1745.2644297935462</c:v>
                </c:pt>
                <c:pt idx="5">
                  <c:v>-897.63264301767867</c:v>
                </c:pt>
                <c:pt idx="6">
                  <c:v>-2585.3675488876488</c:v>
                </c:pt>
                <c:pt idx="7">
                  <c:v>-871.19298295565295</c:v>
                </c:pt>
                <c:pt idx="8">
                  <c:v>63.971589894268163</c:v>
                </c:pt>
                <c:pt idx="9">
                  <c:v>-1032.7364004774436</c:v>
                </c:pt>
                <c:pt idx="10">
                  <c:v>-1817.0311845371707</c:v>
                </c:pt>
                <c:pt idx="11">
                  <c:v>908.94920230097432</c:v>
                </c:pt>
                <c:pt idx="12">
                  <c:v>-480.80162566928493</c:v>
                </c:pt>
                <c:pt idx="13">
                  <c:v>264.47169098231734</c:v>
                </c:pt>
                <c:pt idx="14">
                  <c:v>-686.02309462555604</c:v>
                </c:pt>
                <c:pt idx="15">
                  <c:v>1383.1669246488245</c:v>
                </c:pt>
                <c:pt idx="16">
                  <c:v>-560.54464554745073</c:v>
                </c:pt>
                <c:pt idx="17">
                  <c:v>-4.4401471001774553</c:v>
                </c:pt>
                <c:pt idx="18">
                  <c:v>-759.87667433547358</c:v>
                </c:pt>
                <c:pt idx="19">
                  <c:v>941.93006724318639</c:v>
                </c:pt>
                <c:pt idx="20">
                  <c:v>123.45493559363376</c:v>
                </c:pt>
                <c:pt idx="21">
                  <c:v>-240.25333143710395</c:v>
                </c:pt>
                <c:pt idx="22">
                  <c:v>-1642.9393331635601</c:v>
                </c:pt>
                <c:pt idx="23">
                  <c:v>2224.0611918722216</c:v>
                </c:pt>
                <c:pt idx="24">
                  <c:v>-943.00489007390433</c:v>
                </c:pt>
                <c:pt idx="25">
                  <c:v>63.40620363810649</c:v>
                </c:pt>
                <c:pt idx="26">
                  <c:v>-605.6911307305727</c:v>
                </c:pt>
                <c:pt idx="27">
                  <c:v>1019.5528886607945</c:v>
                </c:pt>
                <c:pt idx="28">
                  <c:v>268.80631894615499</c:v>
                </c:pt>
                <c:pt idx="29">
                  <c:v>163.17332008834546</c:v>
                </c:pt>
                <c:pt idx="30">
                  <c:v>751.11809523191732</c:v>
                </c:pt>
                <c:pt idx="31">
                  <c:v>-929.38065181800539</c:v>
                </c:pt>
                <c:pt idx="32">
                  <c:v>561.51149530840621</c:v>
                </c:pt>
                <c:pt idx="33">
                  <c:v>749.17261682968001</c:v>
                </c:pt>
                <c:pt idx="34">
                  <c:v>179.48903250112744</c:v>
                </c:pt>
                <c:pt idx="35">
                  <c:v>-549.04060575213134</c:v>
                </c:pt>
                <c:pt idx="36">
                  <c:v>-5.6415928945120868</c:v>
                </c:pt>
                <c:pt idx="37">
                  <c:v>1447.5424319813019</c:v>
                </c:pt>
                <c:pt idx="38">
                  <c:v>579.97096394243817</c:v>
                </c:pt>
                <c:pt idx="39">
                  <c:v>-1619.5052507340797</c:v>
                </c:pt>
                <c:pt idx="40">
                  <c:v>-1421.9341645563604</c:v>
                </c:pt>
                <c:pt idx="41">
                  <c:v>-4964.4088680008144</c:v>
                </c:pt>
                <c:pt idx="42">
                  <c:v>2752.8210196182754</c:v>
                </c:pt>
                <c:pt idx="43">
                  <c:v>-32.418914192842749</c:v>
                </c:pt>
                <c:pt idx="44">
                  <c:v>1566.7211432261042</c:v>
                </c:pt>
                <c:pt idx="45">
                  <c:v>916.43271760809785</c:v>
                </c:pt>
                <c:pt idx="46">
                  <c:v>2960.1293135408396</c:v>
                </c:pt>
                <c:pt idx="47">
                  <c:v>-1289.2254460983595</c:v>
                </c:pt>
                <c:pt idx="48">
                  <c:v>44.300859732285517</c:v>
                </c:pt>
                <c:pt idx="49">
                  <c:v>1277.8087663322067</c:v>
                </c:pt>
                <c:pt idx="50">
                  <c:v>2293.9158417078852</c:v>
                </c:pt>
                <c:pt idx="51">
                  <c:v>-1637.173571238839</c:v>
                </c:pt>
                <c:pt idx="52">
                  <c:v>-602.94861475888911</c:v>
                </c:pt>
                <c:pt idx="53">
                  <c:v>1124.6833219575774</c:v>
                </c:pt>
                <c:pt idx="54">
                  <c:v>1822.7606282475153</c:v>
                </c:pt>
                <c:pt idx="55">
                  <c:v>-1215.0184999783514</c:v>
                </c:pt>
                <c:pt idx="56">
                  <c:v>-1430.1793807919225</c:v>
                </c:pt>
                <c:pt idx="57">
                  <c:v>1960.6304594396488</c:v>
                </c:pt>
                <c:pt idx="58">
                  <c:v>1753.3830230654767</c:v>
                </c:pt>
                <c:pt idx="59">
                  <c:v>-1162.838060087618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BB-4AFE-AF6E-18D568090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161200"/>
        <c:axId val="2036160240"/>
      </c:lineChart>
      <c:catAx>
        <c:axId val="203616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6160240"/>
        <c:crosses val="autoZero"/>
        <c:auto val="1"/>
        <c:lblAlgn val="ctr"/>
        <c:lblOffset val="600"/>
        <c:noMultiLvlLbl val="0"/>
      </c:catAx>
      <c:valAx>
        <c:axId val="203616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616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182880</xdr:colOff>
      <xdr:row>9</xdr:row>
      <xdr:rowOff>148590</xdr:rowOff>
    </xdr:from>
    <xdr:to>
      <xdr:col>20</xdr:col>
      <xdr:colOff>30480</xdr:colOff>
      <xdr:row>33</xdr:row>
      <xdr:rowOff>22860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26D2AD5-2DFB-4523-943F-75A0503D6C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8705-802F-4BE9-85A9-52271A6CAE4F}">
  <dimension ref="A1:OQ58"/>
  <sheetViews>
    <sheetView workbookViewId="0">
      <pane xSplit="1" ySplit="11" topLeftCell="B5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1.88671875" style="7" customWidth="1"/>
    <col min="2" max="2" width="10" style="7" customWidth="1"/>
    <col min="3" max="3" width="5" style="7" customWidth="1"/>
    <col min="4" max="4" width="10" style="7" customWidth="1"/>
    <col min="5" max="5" width="5" style="7" customWidth="1"/>
    <col min="6" max="6" width="10" style="7" customWidth="1"/>
    <col min="7" max="7" width="5" style="7" customWidth="1"/>
    <col min="8" max="8" width="10" style="7" customWidth="1"/>
    <col min="9" max="9" width="5" style="7" customWidth="1"/>
    <col min="10" max="10" width="10" style="7" customWidth="1"/>
    <col min="11" max="11" width="5" style="7" customWidth="1"/>
    <col min="12" max="12" width="10" style="7" customWidth="1"/>
    <col min="13" max="13" width="5" style="7" customWidth="1"/>
    <col min="14" max="14" width="10" style="7" customWidth="1"/>
    <col min="15" max="15" width="5" style="7" customWidth="1"/>
    <col min="16" max="16" width="10" style="7" customWidth="1"/>
    <col min="17" max="17" width="5" style="7" customWidth="1"/>
    <col min="18" max="18" width="10" style="7" customWidth="1"/>
    <col min="19" max="19" width="5" style="7" customWidth="1"/>
    <col min="20" max="20" width="10" style="7" customWidth="1"/>
    <col min="21" max="21" width="5" style="7" customWidth="1"/>
    <col min="22" max="22" width="10" style="7" customWidth="1"/>
    <col min="23" max="23" width="5" style="7" customWidth="1"/>
    <col min="24" max="24" width="10" style="7" customWidth="1"/>
    <col min="25" max="25" width="5" style="7" customWidth="1"/>
    <col min="26" max="26" width="10" style="7" customWidth="1"/>
    <col min="27" max="27" width="5" style="7" customWidth="1"/>
    <col min="28" max="28" width="10" style="7" customWidth="1"/>
    <col min="29" max="29" width="5" style="7" customWidth="1"/>
    <col min="30" max="30" width="10" style="7" customWidth="1"/>
    <col min="31" max="31" width="5" style="7" customWidth="1"/>
    <col min="32" max="32" width="10" style="7" customWidth="1"/>
    <col min="33" max="33" width="5" style="7" customWidth="1"/>
    <col min="34" max="34" width="10" style="7" customWidth="1"/>
    <col min="35" max="35" width="5" style="7" customWidth="1"/>
    <col min="36" max="36" width="10" style="7" customWidth="1"/>
    <col min="37" max="37" width="5" style="7" customWidth="1"/>
    <col min="38" max="38" width="10" style="7" customWidth="1"/>
    <col min="39" max="39" width="5" style="7" customWidth="1"/>
    <col min="40" max="40" width="10" style="7" customWidth="1"/>
    <col min="41" max="41" width="5" style="7" customWidth="1"/>
    <col min="42" max="42" width="10" style="7" customWidth="1"/>
    <col min="43" max="43" width="5" style="7" customWidth="1"/>
    <col min="44" max="44" width="10" style="7" customWidth="1"/>
    <col min="45" max="45" width="5" style="7" customWidth="1"/>
    <col min="46" max="46" width="10" style="7" customWidth="1"/>
    <col min="47" max="47" width="5" style="7" customWidth="1"/>
    <col min="48" max="48" width="10" style="7" customWidth="1"/>
    <col min="49" max="49" width="5" style="7" customWidth="1"/>
    <col min="50" max="50" width="10" style="7" customWidth="1"/>
    <col min="51" max="51" width="5" style="7" customWidth="1"/>
    <col min="52" max="52" width="10" style="7" customWidth="1"/>
    <col min="53" max="53" width="5" style="7" customWidth="1"/>
    <col min="54" max="54" width="10" style="7" customWidth="1"/>
    <col min="55" max="55" width="5" style="7" customWidth="1"/>
    <col min="56" max="56" width="10" style="7" customWidth="1"/>
    <col min="57" max="57" width="5" style="7" customWidth="1"/>
    <col min="58" max="58" width="10" style="7" customWidth="1"/>
    <col min="59" max="59" width="5" style="7" customWidth="1"/>
    <col min="60" max="60" width="10" style="7" customWidth="1"/>
    <col min="61" max="61" width="5" style="7" customWidth="1"/>
    <col min="62" max="62" width="10" style="7" customWidth="1"/>
    <col min="63" max="63" width="5" style="7" customWidth="1"/>
    <col min="64" max="64" width="10" style="7" customWidth="1"/>
    <col min="65" max="65" width="5" style="7" customWidth="1"/>
    <col min="66" max="66" width="10" style="7" customWidth="1"/>
    <col min="67" max="67" width="5" style="7" customWidth="1"/>
    <col min="68" max="68" width="10" style="7" customWidth="1"/>
    <col min="69" max="69" width="5" style="7" customWidth="1"/>
    <col min="70" max="70" width="10" style="7" customWidth="1"/>
    <col min="71" max="71" width="5" style="7" customWidth="1"/>
    <col min="72" max="72" width="10" style="7" customWidth="1"/>
    <col min="73" max="73" width="5" style="7" customWidth="1"/>
    <col min="74" max="74" width="10" style="7" customWidth="1"/>
    <col min="75" max="75" width="5" style="7" customWidth="1"/>
    <col min="76" max="76" width="10" style="7" customWidth="1"/>
    <col min="77" max="77" width="5" style="7" customWidth="1"/>
    <col min="78" max="78" width="10" style="7" customWidth="1"/>
    <col min="79" max="79" width="5" style="7" customWidth="1"/>
    <col min="80" max="80" width="10" style="7" customWidth="1"/>
    <col min="81" max="81" width="5" style="7" customWidth="1"/>
    <col min="82" max="82" width="10" style="7" customWidth="1"/>
    <col min="83" max="83" width="5" style="7" customWidth="1"/>
    <col min="84" max="84" width="10" style="7" customWidth="1"/>
    <col min="85" max="85" width="5" style="7" customWidth="1"/>
    <col min="86" max="86" width="10" style="7" customWidth="1"/>
    <col min="87" max="87" width="5" style="7" customWidth="1"/>
    <col min="88" max="88" width="10" style="7" customWidth="1"/>
    <col min="89" max="89" width="5" style="7" customWidth="1"/>
    <col min="90" max="90" width="10" style="7" customWidth="1"/>
    <col min="91" max="91" width="5" style="7" customWidth="1"/>
    <col min="92" max="92" width="10" style="7" customWidth="1"/>
    <col min="93" max="93" width="5" style="7" customWidth="1"/>
    <col min="94" max="94" width="10" style="7" customWidth="1"/>
    <col min="95" max="95" width="5" style="7" customWidth="1"/>
    <col min="96" max="96" width="10" style="7" customWidth="1"/>
    <col min="97" max="97" width="5" style="7" customWidth="1"/>
    <col min="98" max="98" width="10" style="7" customWidth="1"/>
    <col min="99" max="99" width="5" style="7" customWidth="1"/>
    <col min="100" max="100" width="10" style="7" customWidth="1"/>
    <col min="101" max="101" width="5" style="7" customWidth="1"/>
    <col min="102" max="102" width="10" style="7" customWidth="1"/>
    <col min="103" max="103" width="5" style="7" customWidth="1"/>
    <col min="104" max="104" width="10" style="7" customWidth="1"/>
    <col min="105" max="105" width="5" style="7" customWidth="1"/>
    <col min="106" max="106" width="10" style="7" customWidth="1"/>
    <col min="107" max="107" width="5" style="7" customWidth="1"/>
    <col min="108" max="108" width="10" style="7" customWidth="1"/>
    <col min="109" max="109" width="5" style="7" customWidth="1"/>
    <col min="110" max="110" width="10" style="7" customWidth="1"/>
    <col min="111" max="111" width="5" style="7" customWidth="1"/>
    <col min="112" max="112" width="10" style="7" customWidth="1"/>
    <col min="113" max="113" width="5" style="7" customWidth="1"/>
    <col min="114" max="114" width="10" style="7" customWidth="1"/>
    <col min="115" max="115" width="5" style="7" customWidth="1"/>
    <col min="116" max="116" width="10" style="7" customWidth="1"/>
    <col min="117" max="117" width="5" style="7" customWidth="1"/>
    <col min="118" max="118" width="10" style="7" customWidth="1"/>
    <col min="119" max="119" width="5" style="7" customWidth="1"/>
    <col min="120" max="120" width="10" style="7" customWidth="1"/>
    <col min="121" max="121" width="5" style="7" customWidth="1"/>
    <col min="122" max="122" width="10" style="7" customWidth="1"/>
    <col min="123" max="123" width="5" style="7" customWidth="1"/>
    <col min="124" max="124" width="10" style="7" customWidth="1"/>
    <col min="125" max="125" width="5" style="7" customWidth="1"/>
    <col min="126" max="126" width="10" style="7" customWidth="1"/>
    <col min="127" max="127" width="5" style="7" customWidth="1"/>
    <col min="128" max="128" width="10" style="7" customWidth="1"/>
    <col min="129" max="129" width="5" style="7" customWidth="1"/>
    <col min="130" max="130" width="10" style="7" customWidth="1"/>
    <col min="131" max="131" width="5" style="7" customWidth="1"/>
    <col min="132" max="132" width="10" style="7" customWidth="1"/>
    <col min="133" max="133" width="5" style="7" customWidth="1"/>
    <col min="134" max="134" width="10" style="7" customWidth="1"/>
    <col min="135" max="135" width="5" style="7" customWidth="1"/>
    <col min="136" max="136" width="10" style="7" customWidth="1"/>
    <col min="137" max="137" width="5" style="7" customWidth="1"/>
    <col min="138" max="138" width="10" style="7" customWidth="1"/>
    <col min="139" max="139" width="5" style="7" customWidth="1"/>
    <col min="140" max="140" width="10" style="7" customWidth="1"/>
    <col min="141" max="141" width="5" style="7" customWidth="1"/>
    <col min="142" max="142" width="10" style="7" customWidth="1"/>
    <col min="143" max="143" width="5" style="7" customWidth="1"/>
    <col min="144" max="144" width="10" style="7" customWidth="1"/>
    <col min="145" max="145" width="5" style="7" customWidth="1"/>
    <col min="146" max="146" width="10" style="7" customWidth="1"/>
    <col min="147" max="147" width="5" style="7" customWidth="1"/>
    <col min="148" max="148" width="10" style="7" customWidth="1"/>
    <col min="149" max="149" width="5" style="7" customWidth="1"/>
    <col min="150" max="150" width="10" style="7" customWidth="1"/>
    <col min="151" max="151" width="5" style="7" customWidth="1"/>
    <col min="152" max="152" width="10" style="7" customWidth="1"/>
    <col min="153" max="153" width="5" style="7" customWidth="1"/>
    <col min="154" max="154" width="10" style="7" customWidth="1"/>
    <col min="155" max="155" width="5" style="7" customWidth="1"/>
    <col min="156" max="156" width="10" style="7" customWidth="1"/>
    <col min="157" max="157" width="5" style="7" customWidth="1"/>
    <col min="158" max="158" width="10" style="7" customWidth="1"/>
    <col min="159" max="159" width="5" style="7" customWidth="1"/>
    <col min="160" max="160" width="10" style="7" customWidth="1"/>
    <col min="161" max="161" width="5" style="7" customWidth="1"/>
    <col min="162" max="162" width="10" style="7" customWidth="1"/>
    <col min="163" max="163" width="5" style="7" customWidth="1"/>
    <col min="164" max="164" width="10" style="7" customWidth="1"/>
    <col min="165" max="165" width="5" style="7" customWidth="1"/>
    <col min="166" max="166" width="10" style="7" customWidth="1"/>
    <col min="167" max="167" width="5" style="7" customWidth="1"/>
    <col min="168" max="168" width="10" style="7" customWidth="1"/>
    <col min="169" max="169" width="5" style="7" customWidth="1"/>
    <col min="170" max="170" width="10" style="7" customWidth="1"/>
    <col min="171" max="171" width="5" style="7" customWidth="1"/>
    <col min="172" max="172" width="10" style="7" customWidth="1"/>
    <col min="173" max="173" width="5" style="7" customWidth="1"/>
    <col min="174" max="174" width="10" style="7" customWidth="1"/>
    <col min="175" max="175" width="5" style="7" customWidth="1"/>
    <col min="176" max="176" width="10" style="7" customWidth="1"/>
    <col min="177" max="177" width="5" style="7" customWidth="1"/>
    <col min="178" max="178" width="10" style="7" customWidth="1"/>
    <col min="179" max="179" width="5" style="7" customWidth="1"/>
    <col min="180" max="180" width="10" style="7" customWidth="1"/>
    <col min="181" max="181" width="5" style="7" customWidth="1"/>
    <col min="182" max="182" width="10" style="7" customWidth="1"/>
    <col min="183" max="183" width="5" style="7" customWidth="1"/>
    <col min="184" max="184" width="10" style="7" customWidth="1"/>
    <col min="185" max="185" width="5" style="7" customWidth="1"/>
    <col min="186" max="186" width="10" style="7" customWidth="1"/>
    <col min="187" max="187" width="5" style="7" customWidth="1"/>
    <col min="188" max="188" width="10" style="7" customWidth="1"/>
    <col min="189" max="189" width="5" style="7" customWidth="1"/>
    <col min="190" max="190" width="10" style="7" customWidth="1"/>
    <col min="191" max="191" width="5" style="7" customWidth="1"/>
    <col min="192" max="192" width="10" style="7" customWidth="1"/>
    <col min="193" max="193" width="5" style="7" customWidth="1"/>
    <col min="194" max="194" width="10" style="7" customWidth="1"/>
    <col min="195" max="195" width="5" style="7" customWidth="1"/>
    <col min="196" max="196" width="10" style="7" customWidth="1"/>
    <col min="197" max="197" width="5" style="7" customWidth="1"/>
    <col min="198" max="198" width="10" style="7" customWidth="1"/>
    <col min="199" max="199" width="5" style="7" customWidth="1"/>
    <col min="200" max="200" width="10" style="7" customWidth="1"/>
    <col min="201" max="201" width="5" style="7" customWidth="1"/>
    <col min="202" max="202" width="10" style="7" customWidth="1"/>
    <col min="203" max="203" width="5" style="7" customWidth="1"/>
    <col min="204" max="204" width="10" style="7" customWidth="1"/>
    <col min="205" max="205" width="5" style="7" customWidth="1"/>
    <col min="206" max="206" width="10" style="7" customWidth="1"/>
    <col min="207" max="207" width="5" style="7" customWidth="1"/>
    <col min="208" max="208" width="10" style="7" customWidth="1"/>
    <col min="209" max="209" width="5" style="7" customWidth="1"/>
    <col min="210" max="210" width="10" style="7" customWidth="1"/>
    <col min="211" max="211" width="5" style="7" customWidth="1"/>
    <col min="212" max="212" width="10" style="7" customWidth="1"/>
    <col min="213" max="213" width="5" style="7" customWidth="1"/>
    <col min="214" max="214" width="10" style="7" customWidth="1"/>
    <col min="215" max="215" width="5" style="7" customWidth="1"/>
    <col min="216" max="216" width="10" style="7" customWidth="1"/>
    <col min="217" max="217" width="5" style="7" customWidth="1"/>
    <col min="218" max="218" width="10" style="7" customWidth="1"/>
    <col min="219" max="219" width="5" style="7" customWidth="1"/>
    <col min="220" max="220" width="10" style="7" customWidth="1"/>
    <col min="221" max="221" width="5" style="7" customWidth="1"/>
    <col min="222" max="222" width="10" style="7" customWidth="1"/>
    <col min="223" max="223" width="5" style="7" customWidth="1"/>
    <col min="224" max="224" width="10" style="7" customWidth="1"/>
    <col min="225" max="225" width="5" style="7" customWidth="1"/>
    <col min="226" max="226" width="10" style="7" customWidth="1"/>
    <col min="227" max="227" width="5" style="7" customWidth="1"/>
    <col min="228" max="228" width="10" style="7" customWidth="1"/>
    <col min="229" max="229" width="5" style="7" customWidth="1"/>
    <col min="230" max="230" width="10" style="7" customWidth="1"/>
    <col min="231" max="231" width="5" style="7" customWidth="1"/>
    <col min="232" max="232" width="10" style="7" customWidth="1"/>
    <col min="233" max="233" width="5" style="7" customWidth="1"/>
    <col min="234" max="234" width="10" style="7" customWidth="1"/>
    <col min="235" max="235" width="5" style="7" customWidth="1"/>
    <col min="236" max="236" width="10" style="7" customWidth="1"/>
    <col min="237" max="237" width="5" style="7" customWidth="1"/>
    <col min="238" max="238" width="10" style="7" customWidth="1"/>
    <col min="239" max="239" width="5" style="7" customWidth="1"/>
    <col min="240" max="240" width="10" style="7" customWidth="1"/>
    <col min="241" max="241" width="5" style="7" customWidth="1"/>
    <col min="242" max="242" width="10" style="7" customWidth="1"/>
    <col min="243" max="243" width="5" style="7" customWidth="1"/>
    <col min="244" max="244" width="10" style="7" customWidth="1"/>
    <col min="245" max="245" width="5" style="7" customWidth="1"/>
    <col min="246" max="246" width="10" style="7" customWidth="1"/>
    <col min="247" max="247" width="5" style="7" customWidth="1"/>
    <col min="248" max="248" width="10" style="7" customWidth="1"/>
    <col min="249" max="249" width="5" style="7" customWidth="1"/>
    <col min="250" max="250" width="10" style="7" customWidth="1"/>
    <col min="251" max="251" width="5" style="7" customWidth="1"/>
    <col min="252" max="252" width="10" style="7" customWidth="1"/>
    <col min="253" max="253" width="5" style="7" customWidth="1"/>
    <col min="254" max="254" width="10" style="7" customWidth="1"/>
    <col min="255" max="255" width="5" style="7" customWidth="1"/>
    <col min="256" max="256" width="10" style="7" customWidth="1"/>
    <col min="257" max="257" width="5" style="7" customWidth="1"/>
    <col min="258" max="258" width="10" style="7" customWidth="1"/>
    <col min="259" max="259" width="5" style="7" customWidth="1"/>
    <col min="260" max="260" width="10" style="7" customWidth="1"/>
    <col min="261" max="261" width="5" style="7" customWidth="1"/>
    <col min="262" max="262" width="10" style="7" customWidth="1"/>
    <col min="263" max="263" width="5" style="7" customWidth="1"/>
    <col min="264" max="264" width="10" style="7" customWidth="1"/>
    <col min="265" max="265" width="5" style="7" customWidth="1"/>
    <col min="266" max="266" width="10" style="7" customWidth="1"/>
    <col min="267" max="267" width="5" style="7" customWidth="1"/>
    <col min="268" max="268" width="10" style="7" customWidth="1"/>
    <col min="269" max="269" width="5" style="7" customWidth="1"/>
    <col min="270" max="270" width="10" style="7" customWidth="1"/>
    <col min="271" max="271" width="5" style="7" customWidth="1"/>
    <col min="272" max="272" width="10" style="7" customWidth="1"/>
    <col min="273" max="273" width="5" style="7" customWidth="1"/>
    <col min="274" max="274" width="10" style="7" customWidth="1"/>
    <col min="275" max="275" width="5" style="7" customWidth="1"/>
    <col min="276" max="276" width="10" style="7" customWidth="1"/>
    <col min="277" max="277" width="5" style="7" customWidth="1"/>
    <col min="278" max="278" width="10" style="7" customWidth="1"/>
    <col min="279" max="279" width="5" style="7" customWidth="1"/>
    <col min="280" max="280" width="10" style="7" customWidth="1"/>
    <col min="281" max="281" width="5" style="7" customWidth="1"/>
    <col min="282" max="282" width="10" style="7" customWidth="1"/>
    <col min="283" max="283" width="5" style="7" customWidth="1"/>
    <col min="284" max="284" width="10" style="7" customWidth="1"/>
    <col min="285" max="285" width="5" style="7" customWidth="1"/>
    <col min="286" max="286" width="10" style="7" customWidth="1"/>
    <col min="287" max="287" width="5" style="7" customWidth="1"/>
    <col min="288" max="288" width="10" style="7" customWidth="1"/>
    <col min="289" max="289" width="5" style="7" customWidth="1"/>
    <col min="290" max="290" width="10" style="7" customWidth="1"/>
    <col min="291" max="291" width="5" style="7" customWidth="1"/>
    <col min="292" max="292" width="10" style="7" customWidth="1"/>
    <col min="293" max="293" width="5" style="7" customWidth="1"/>
    <col min="294" max="294" width="10" style="7" customWidth="1"/>
    <col min="295" max="295" width="5" style="7" customWidth="1"/>
    <col min="296" max="296" width="10" style="7" customWidth="1"/>
    <col min="297" max="297" width="5" style="7" customWidth="1"/>
    <col min="298" max="298" width="10" style="7" customWidth="1"/>
    <col min="299" max="299" width="5" style="7" customWidth="1"/>
    <col min="300" max="300" width="10" style="7" customWidth="1"/>
    <col min="301" max="301" width="5" style="7" customWidth="1"/>
    <col min="302" max="302" width="10" style="7" customWidth="1"/>
    <col min="303" max="303" width="5" style="7" customWidth="1"/>
    <col min="304" max="304" width="10" style="7" customWidth="1"/>
    <col min="305" max="305" width="5" style="7" customWidth="1"/>
    <col min="306" max="306" width="10" style="7" customWidth="1"/>
    <col min="307" max="307" width="5" style="7" customWidth="1"/>
    <col min="308" max="308" width="10" style="7" customWidth="1"/>
    <col min="309" max="309" width="5" style="7" customWidth="1"/>
    <col min="310" max="310" width="10" style="7" customWidth="1"/>
    <col min="311" max="311" width="5" style="7" customWidth="1"/>
    <col min="312" max="312" width="10" style="7" customWidth="1"/>
    <col min="313" max="313" width="5" style="7" customWidth="1"/>
    <col min="314" max="314" width="10" style="7" customWidth="1"/>
    <col min="315" max="315" width="5" style="7" customWidth="1"/>
    <col min="316" max="316" width="10" style="7" customWidth="1"/>
    <col min="317" max="317" width="5" style="7" customWidth="1"/>
    <col min="318" max="318" width="10" style="7" customWidth="1"/>
    <col min="319" max="319" width="5" style="7" customWidth="1"/>
    <col min="320" max="320" width="10" style="7" customWidth="1"/>
    <col min="321" max="321" width="5" style="7" customWidth="1"/>
    <col min="322" max="322" width="10" style="7" customWidth="1"/>
    <col min="323" max="323" width="5" style="7" customWidth="1"/>
    <col min="324" max="324" width="10" style="7" customWidth="1"/>
    <col min="325" max="325" width="5" style="7" customWidth="1"/>
    <col min="326" max="326" width="10" style="7" customWidth="1"/>
    <col min="327" max="327" width="5" style="7" customWidth="1"/>
    <col min="328" max="328" width="10" style="7" customWidth="1"/>
    <col min="329" max="329" width="5" style="7" customWidth="1"/>
    <col min="330" max="330" width="10" style="7" customWidth="1"/>
    <col min="331" max="331" width="5" style="7" customWidth="1"/>
    <col min="332" max="332" width="10" style="7" customWidth="1"/>
    <col min="333" max="333" width="5" style="7" customWidth="1"/>
    <col min="334" max="334" width="10" style="7" customWidth="1"/>
    <col min="335" max="335" width="5" style="7" customWidth="1"/>
    <col min="336" max="336" width="10" style="7" customWidth="1"/>
    <col min="337" max="337" width="5" style="7" customWidth="1"/>
    <col min="338" max="338" width="10" style="7" customWidth="1"/>
    <col min="339" max="339" width="5" style="7" customWidth="1"/>
    <col min="340" max="340" width="10" style="7" customWidth="1"/>
    <col min="341" max="341" width="5" style="7" customWidth="1"/>
    <col min="342" max="342" width="10" style="7" customWidth="1"/>
    <col min="343" max="343" width="5" style="7" customWidth="1"/>
    <col min="344" max="344" width="10" style="7" customWidth="1"/>
    <col min="345" max="345" width="5" style="7" customWidth="1"/>
    <col min="346" max="346" width="10" style="7" customWidth="1"/>
    <col min="347" max="347" width="5" style="7" customWidth="1"/>
    <col min="348" max="348" width="10" style="7" customWidth="1"/>
    <col min="349" max="349" width="5" style="7" customWidth="1"/>
    <col min="350" max="350" width="10" style="7" customWidth="1"/>
    <col min="351" max="351" width="5" style="7" customWidth="1"/>
    <col min="352" max="352" width="10" style="7" customWidth="1"/>
    <col min="353" max="353" width="5" style="7" customWidth="1"/>
    <col min="354" max="354" width="10" style="7" customWidth="1"/>
    <col min="355" max="355" width="5" style="7" customWidth="1"/>
    <col min="356" max="356" width="10" style="7" customWidth="1"/>
    <col min="357" max="357" width="5" style="7" customWidth="1"/>
    <col min="358" max="358" width="10" style="7" customWidth="1"/>
    <col min="359" max="359" width="5" style="7" customWidth="1"/>
    <col min="360" max="360" width="10" style="7" customWidth="1"/>
    <col min="361" max="361" width="5" style="7" customWidth="1"/>
    <col min="362" max="362" width="10" style="7" customWidth="1"/>
    <col min="363" max="363" width="5" style="7" customWidth="1"/>
    <col min="364" max="364" width="10" style="7" customWidth="1"/>
    <col min="365" max="365" width="5" style="7" customWidth="1"/>
    <col min="366" max="366" width="10" style="7" customWidth="1"/>
    <col min="367" max="367" width="5" style="7" customWidth="1"/>
    <col min="368" max="368" width="10" style="7" customWidth="1"/>
    <col min="369" max="369" width="5" style="7" customWidth="1"/>
    <col min="370" max="370" width="10" style="7" customWidth="1"/>
    <col min="371" max="371" width="5" style="7" customWidth="1"/>
    <col min="372" max="372" width="10" style="7" customWidth="1"/>
    <col min="373" max="373" width="5" style="7" customWidth="1"/>
    <col min="374" max="374" width="10" style="7" customWidth="1"/>
    <col min="375" max="375" width="5" style="7" customWidth="1"/>
    <col min="376" max="376" width="10" style="7" customWidth="1"/>
    <col min="377" max="377" width="5" style="7" customWidth="1"/>
    <col min="378" max="378" width="10" style="7" customWidth="1"/>
    <col min="379" max="379" width="5" style="7" customWidth="1"/>
    <col min="380" max="380" width="10" style="7" customWidth="1"/>
    <col min="381" max="381" width="5" style="7" customWidth="1"/>
    <col min="382" max="382" width="10" style="7" customWidth="1"/>
    <col min="383" max="383" width="5" style="7" customWidth="1"/>
    <col min="384" max="384" width="10" style="7" customWidth="1"/>
    <col min="385" max="385" width="5" style="7" customWidth="1"/>
    <col min="386" max="386" width="10" style="7" customWidth="1"/>
    <col min="387" max="387" width="5" style="7" customWidth="1"/>
    <col min="388" max="388" width="10" style="7" customWidth="1"/>
    <col min="389" max="389" width="5" style="7" customWidth="1"/>
    <col min="390" max="390" width="10" style="7" customWidth="1"/>
    <col min="391" max="391" width="5" style="7" customWidth="1"/>
    <col min="392" max="392" width="10" style="7" customWidth="1"/>
    <col min="393" max="393" width="5" style="7" customWidth="1"/>
    <col min="394" max="394" width="10" style="7" customWidth="1"/>
    <col min="395" max="395" width="5" style="7" customWidth="1"/>
    <col min="396" max="396" width="10" style="7" customWidth="1"/>
    <col min="397" max="397" width="5" style="7" customWidth="1"/>
    <col min="398" max="398" width="10" style="7" customWidth="1"/>
    <col min="399" max="399" width="5" style="7" customWidth="1"/>
    <col min="400" max="400" width="10" style="7" customWidth="1"/>
    <col min="401" max="401" width="5" style="7" customWidth="1"/>
    <col min="402" max="402" width="10" style="7" customWidth="1"/>
    <col min="403" max="403" width="5" style="7" customWidth="1"/>
    <col min="404" max="404" width="10" style="7" customWidth="1"/>
    <col min="405" max="405" width="5" style="7" customWidth="1"/>
    <col min="406" max="406" width="10" style="7" customWidth="1"/>
    <col min="407" max="407" width="5" style="7" customWidth="1"/>
    <col min="408" max="16384" width="8.88671875" style="7"/>
  </cols>
  <sheetData>
    <row r="1" spans="1:407" x14ac:dyDescent="0.3">
      <c r="A1" s="6" t="s">
        <v>15</v>
      </c>
    </row>
    <row r="2" spans="1:407" x14ac:dyDescent="0.3">
      <c r="A2" s="6" t="s">
        <v>16</v>
      </c>
      <c r="B2" s="8" t="s">
        <v>17</v>
      </c>
    </row>
    <row r="3" spans="1:407" x14ac:dyDescent="0.3">
      <c r="A3" s="6" t="s">
        <v>18</v>
      </c>
      <c r="B3" s="6" t="s">
        <v>19</v>
      </c>
    </row>
    <row r="4" spans="1:407" x14ac:dyDescent="0.3"/>
    <row r="5" spans="1:407" x14ac:dyDescent="0.3">
      <c r="A5" s="8" t="s">
        <v>20</v>
      </c>
      <c r="C5" s="6" t="s">
        <v>21</v>
      </c>
    </row>
    <row r="6" spans="1:407" x14ac:dyDescent="0.3">
      <c r="A6" s="8" t="s">
        <v>22</v>
      </c>
      <c r="C6" s="6" t="s">
        <v>23</v>
      </c>
    </row>
    <row r="7" spans="1:407" x14ac:dyDescent="0.3">
      <c r="A7" s="8" t="s">
        <v>24</v>
      </c>
      <c r="C7" s="6" t="s">
        <v>25</v>
      </c>
    </row>
    <row r="8" spans="1:407" x14ac:dyDescent="0.3">
      <c r="A8" s="8" t="s">
        <v>26</v>
      </c>
      <c r="C8" s="6" t="s">
        <v>27</v>
      </c>
    </row>
    <row r="9" spans="1:407" x14ac:dyDescent="0.3"/>
    <row r="10" spans="1:407" x14ac:dyDescent="0.3">
      <c r="A10" s="9" t="s">
        <v>28</v>
      </c>
      <c r="B10" s="21" t="s">
        <v>29</v>
      </c>
      <c r="C10" s="21" t="s">
        <v>30</v>
      </c>
      <c r="D10" s="21" t="s">
        <v>31</v>
      </c>
      <c r="E10" s="21" t="s">
        <v>30</v>
      </c>
      <c r="F10" s="21" t="s">
        <v>32</v>
      </c>
      <c r="G10" s="21" t="s">
        <v>30</v>
      </c>
      <c r="H10" s="21" t="s">
        <v>33</v>
      </c>
      <c r="I10" s="21" t="s">
        <v>30</v>
      </c>
      <c r="J10" s="21" t="s">
        <v>34</v>
      </c>
      <c r="K10" s="21" t="s">
        <v>30</v>
      </c>
      <c r="L10" s="21" t="s">
        <v>35</v>
      </c>
      <c r="M10" s="21" t="s">
        <v>30</v>
      </c>
      <c r="N10" s="21" t="s">
        <v>36</v>
      </c>
      <c r="O10" s="21" t="s">
        <v>30</v>
      </c>
      <c r="P10" s="21" t="s">
        <v>37</v>
      </c>
      <c r="Q10" s="21" t="s">
        <v>30</v>
      </c>
      <c r="R10" s="21" t="s">
        <v>38</v>
      </c>
      <c r="S10" s="21" t="s">
        <v>30</v>
      </c>
      <c r="T10" s="21" t="s">
        <v>39</v>
      </c>
      <c r="U10" s="21" t="s">
        <v>30</v>
      </c>
      <c r="V10" s="21" t="s">
        <v>40</v>
      </c>
      <c r="W10" s="21" t="s">
        <v>30</v>
      </c>
      <c r="X10" s="21" t="s">
        <v>41</v>
      </c>
      <c r="Y10" s="21" t="s">
        <v>30</v>
      </c>
      <c r="Z10" s="21" t="s">
        <v>42</v>
      </c>
      <c r="AA10" s="21" t="s">
        <v>30</v>
      </c>
      <c r="AB10" s="21" t="s">
        <v>43</v>
      </c>
      <c r="AC10" s="21" t="s">
        <v>30</v>
      </c>
      <c r="AD10" s="21" t="s">
        <v>44</v>
      </c>
      <c r="AE10" s="21" t="s">
        <v>30</v>
      </c>
      <c r="AF10" s="21" t="s">
        <v>45</v>
      </c>
      <c r="AG10" s="21" t="s">
        <v>30</v>
      </c>
      <c r="AH10" s="21" t="s">
        <v>46</v>
      </c>
      <c r="AI10" s="21" t="s">
        <v>30</v>
      </c>
      <c r="AJ10" s="21" t="s">
        <v>47</v>
      </c>
      <c r="AK10" s="21" t="s">
        <v>30</v>
      </c>
      <c r="AL10" s="21" t="s">
        <v>48</v>
      </c>
      <c r="AM10" s="21" t="s">
        <v>30</v>
      </c>
      <c r="AN10" s="21" t="s">
        <v>49</v>
      </c>
      <c r="AO10" s="21" t="s">
        <v>30</v>
      </c>
      <c r="AP10" s="21" t="s">
        <v>50</v>
      </c>
      <c r="AQ10" s="21" t="s">
        <v>30</v>
      </c>
      <c r="AR10" s="21" t="s">
        <v>51</v>
      </c>
      <c r="AS10" s="21" t="s">
        <v>30</v>
      </c>
      <c r="AT10" s="21" t="s">
        <v>52</v>
      </c>
      <c r="AU10" s="21" t="s">
        <v>30</v>
      </c>
      <c r="AV10" s="21" t="s">
        <v>53</v>
      </c>
      <c r="AW10" s="21" t="s">
        <v>30</v>
      </c>
      <c r="AX10" s="21" t="s">
        <v>54</v>
      </c>
      <c r="AY10" s="21" t="s">
        <v>30</v>
      </c>
      <c r="AZ10" s="21" t="s">
        <v>55</v>
      </c>
      <c r="BA10" s="21" t="s">
        <v>30</v>
      </c>
      <c r="BB10" s="21" t="s">
        <v>56</v>
      </c>
      <c r="BC10" s="21" t="s">
        <v>30</v>
      </c>
      <c r="BD10" s="21" t="s">
        <v>57</v>
      </c>
      <c r="BE10" s="21" t="s">
        <v>30</v>
      </c>
      <c r="BF10" s="21" t="s">
        <v>58</v>
      </c>
      <c r="BG10" s="21" t="s">
        <v>30</v>
      </c>
      <c r="BH10" s="21" t="s">
        <v>59</v>
      </c>
      <c r="BI10" s="21" t="s">
        <v>30</v>
      </c>
      <c r="BJ10" s="21" t="s">
        <v>60</v>
      </c>
      <c r="BK10" s="21" t="s">
        <v>30</v>
      </c>
      <c r="BL10" s="21" t="s">
        <v>61</v>
      </c>
      <c r="BM10" s="21" t="s">
        <v>30</v>
      </c>
      <c r="BN10" s="21" t="s">
        <v>62</v>
      </c>
      <c r="BO10" s="21" t="s">
        <v>30</v>
      </c>
      <c r="BP10" s="21" t="s">
        <v>63</v>
      </c>
      <c r="BQ10" s="21" t="s">
        <v>30</v>
      </c>
      <c r="BR10" s="21" t="s">
        <v>64</v>
      </c>
      <c r="BS10" s="21" t="s">
        <v>30</v>
      </c>
      <c r="BT10" s="21" t="s">
        <v>65</v>
      </c>
      <c r="BU10" s="21" t="s">
        <v>30</v>
      </c>
      <c r="BV10" s="21" t="s">
        <v>66</v>
      </c>
      <c r="BW10" s="21" t="s">
        <v>30</v>
      </c>
      <c r="BX10" s="21" t="s">
        <v>67</v>
      </c>
      <c r="BY10" s="21" t="s">
        <v>30</v>
      </c>
      <c r="BZ10" s="21" t="s">
        <v>68</v>
      </c>
      <c r="CA10" s="21" t="s">
        <v>30</v>
      </c>
      <c r="CB10" s="21" t="s">
        <v>69</v>
      </c>
      <c r="CC10" s="21" t="s">
        <v>30</v>
      </c>
      <c r="CD10" s="21" t="s">
        <v>70</v>
      </c>
      <c r="CE10" s="21" t="s">
        <v>30</v>
      </c>
      <c r="CF10" s="21" t="s">
        <v>71</v>
      </c>
      <c r="CG10" s="21" t="s">
        <v>30</v>
      </c>
      <c r="CH10" s="21" t="s">
        <v>72</v>
      </c>
      <c r="CI10" s="21" t="s">
        <v>30</v>
      </c>
      <c r="CJ10" s="21" t="s">
        <v>73</v>
      </c>
      <c r="CK10" s="21" t="s">
        <v>30</v>
      </c>
      <c r="CL10" s="21" t="s">
        <v>74</v>
      </c>
      <c r="CM10" s="21" t="s">
        <v>30</v>
      </c>
      <c r="CN10" s="21" t="s">
        <v>75</v>
      </c>
      <c r="CO10" s="21" t="s">
        <v>30</v>
      </c>
      <c r="CP10" s="21" t="s">
        <v>76</v>
      </c>
      <c r="CQ10" s="21" t="s">
        <v>30</v>
      </c>
      <c r="CR10" s="21" t="s">
        <v>77</v>
      </c>
      <c r="CS10" s="21" t="s">
        <v>30</v>
      </c>
      <c r="CT10" s="21" t="s">
        <v>78</v>
      </c>
      <c r="CU10" s="21" t="s">
        <v>30</v>
      </c>
      <c r="CV10" s="21" t="s">
        <v>79</v>
      </c>
      <c r="CW10" s="21" t="s">
        <v>30</v>
      </c>
      <c r="CX10" s="21" t="s">
        <v>80</v>
      </c>
      <c r="CY10" s="21" t="s">
        <v>30</v>
      </c>
      <c r="CZ10" s="21" t="s">
        <v>81</v>
      </c>
      <c r="DA10" s="21" t="s">
        <v>30</v>
      </c>
      <c r="DB10" s="21" t="s">
        <v>82</v>
      </c>
      <c r="DC10" s="21" t="s">
        <v>30</v>
      </c>
      <c r="DD10" s="21" t="s">
        <v>83</v>
      </c>
      <c r="DE10" s="21" t="s">
        <v>30</v>
      </c>
      <c r="DF10" s="21" t="s">
        <v>84</v>
      </c>
      <c r="DG10" s="21" t="s">
        <v>30</v>
      </c>
      <c r="DH10" s="21" t="s">
        <v>85</v>
      </c>
      <c r="DI10" s="21" t="s">
        <v>30</v>
      </c>
      <c r="DJ10" s="21" t="s">
        <v>86</v>
      </c>
      <c r="DK10" s="21" t="s">
        <v>30</v>
      </c>
      <c r="DL10" s="21" t="s">
        <v>87</v>
      </c>
      <c r="DM10" s="21" t="s">
        <v>30</v>
      </c>
      <c r="DN10" s="21" t="s">
        <v>88</v>
      </c>
      <c r="DO10" s="21" t="s">
        <v>30</v>
      </c>
      <c r="DP10" s="21" t="s">
        <v>89</v>
      </c>
      <c r="DQ10" s="21" t="s">
        <v>30</v>
      </c>
      <c r="DR10" s="21" t="s">
        <v>90</v>
      </c>
      <c r="DS10" s="21" t="s">
        <v>30</v>
      </c>
      <c r="DT10" s="21" t="s">
        <v>91</v>
      </c>
      <c r="DU10" s="21" t="s">
        <v>30</v>
      </c>
      <c r="DV10" s="21" t="s">
        <v>92</v>
      </c>
      <c r="DW10" s="21" t="s">
        <v>30</v>
      </c>
      <c r="DX10" s="21" t="s">
        <v>93</v>
      </c>
      <c r="DY10" s="21" t="s">
        <v>30</v>
      </c>
      <c r="DZ10" s="21" t="s">
        <v>94</v>
      </c>
      <c r="EA10" s="21" t="s">
        <v>30</v>
      </c>
      <c r="EB10" s="21" t="s">
        <v>95</v>
      </c>
      <c r="EC10" s="21" t="s">
        <v>30</v>
      </c>
      <c r="ED10" s="21" t="s">
        <v>96</v>
      </c>
      <c r="EE10" s="21" t="s">
        <v>30</v>
      </c>
      <c r="EF10" s="21" t="s">
        <v>97</v>
      </c>
      <c r="EG10" s="21" t="s">
        <v>30</v>
      </c>
      <c r="EH10" s="21" t="s">
        <v>98</v>
      </c>
      <c r="EI10" s="21" t="s">
        <v>30</v>
      </c>
      <c r="EJ10" s="21" t="s">
        <v>99</v>
      </c>
      <c r="EK10" s="21" t="s">
        <v>30</v>
      </c>
      <c r="EL10" s="21" t="s">
        <v>100</v>
      </c>
      <c r="EM10" s="21" t="s">
        <v>30</v>
      </c>
      <c r="EN10" s="21" t="s">
        <v>101</v>
      </c>
      <c r="EO10" s="21" t="s">
        <v>30</v>
      </c>
      <c r="EP10" s="21" t="s">
        <v>102</v>
      </c>
      <c r="EQ10" s="21" t="s">
        <v>30</v>
      </c>
      <c r="ER10" s="21" t="s">
        <v>103</v>
      </c>
      <c r="ES10" s="21" t="s">
        <v>30</v>
      </c>
      <c r="ET10" s="21" t="s">
        <v>104</v>
      </c>
      <c r="EU10" s="21" t="s">
        <v>30</v>
      </c>
      <c r="EV10" s="21" t="s">
        <v>105</v>
      </c>
      <c r="EW10" s="21" t="s">
        <v>30</v>
      </c>
      <c r="EX10" s="21" t="s">
        <v>106</v>
      </c>
      <c r="EY10" s="21" t="s">
        <v>30</v>
      </c>
      <c r="EZ10" s="21" t="s">
        <v>107</v>
      </c>
      <c r="FA10" s="21" t="s">
        <v>30</v>
      </c>
      <c r="FB10" s="21" t="s">
        <v>108</v>
      </c>
      <c r="FC10" s="21" t="s">
        <v>30</v>
      </c>
      <c r="FD10" s="21" t="s">
        <v>109</v>
      </c>
      <c r="FE10" s="21" t="s">
        <v>30</v>
      </c>
      <c r="FF10" s="21" t="s">
        <v>110</v>
      </c>
      <c r="FG10" s="21" t="s">
        <v>30</v>
      </c>
      <c r="FH10" s="21" t="s">
        <v>111</v>
      </c>
      <c r="FI10" s="21" t="s">
        <v>30</v>
      </c>
      <c r="FJ10" s="21" t="s">
        <v>112</v>
      </c>
      <c r="FK10" s="21" t="s">
        <v>30</v>
      </c>
      <c r="FL10" s="21" t="s">
        <v>113</v>
      </c>
      <c r="FM10" s="21" t="s">
        <v>30</v>
      </c>
      <c r="FN10" s="21" t="s">
        <v>114</v>
      </c>
      <c r="FO10" s="21" t="s">
        <v>30</v>
      </c>
      <c r="FP10" s="21" t="s">
        <v>115</v>
      </c>
      <c r="FQ10" s="21" t="s">
        <v>30</v>
      </c>
      <c r="FR10" s="21" t="s">
        <v>116</v>
      </c>
      <c r="FS10" s="21" t="s">
        <v>30</v>
      </c>
      <c r="FT10" s="21" t="s">
        <v>117</v>
      </c>
      <c r="FU10" s="21" t="s">
        <v>30</v>
      </c>
      <c r="FV10" s="21" t="s">
        <v>118</v>
      </c>
      <c r="FW10" s="21" t="s">
        <v>30</v>
      </c>
      <c r="FX10" s="21" t="s">
        <v>119</v>
      </c>
      <c r="FY10" s="21" t="s">
        <v>30</v>
      </c>
      <c r="FZ10" s="21" t="s">
        <v>120</v>
      </c>
      <c r="GA10" s="21" t="s">
        <v>30</v>
      </c>
      <c r="GB10" s="21" t="s">
        <v>121</v>
      </c>
      <c r="GC10" s="21" t="s">
        <v>30</v>
      </c>
      <c r="GD10" s="21" t="s">
        <v>122</v>
      </c>
      <c r="GE10" s="21" t="s">
        <v>30</v>
      </c>
      <c r="GF10" s="21" t="s">
        <v>123</v>
      </c>
      <c r="GG10" s="21" t="s">
        <v>30</v>
      </c>
      <c r="GH10" s="21" t="s">
        <v>124</v>
      </c>
      <c r="GI10" s="21" t="s">
        <v>30</v>
      </c>
      <c r="GJ10" s="21" t="s">
        <v>125</v>
      </c>
      <c r="GK10" s="21" t="s">
        <v>30</v>
      </c>
      <c r="GL10" s="21" t="s">
        <v>126</v>
      </c>
      <c r="GM10" s="21" t="s">
        <v>30</v>
      </c>
      <c r="GN10" s="21" t="s">
        <v>127</v>
      </c>
      <c r="GO10" s="21" t="s">
        <v>30</v>
      </c>
      <c r="GP10" s="21" t="s">
        <v>128</v>
      </c>
      <c r="GQ10" s="21" t="s">
        <v>30</v>
      </c>
      <c r="GR10" s="21" t="s">
        <v>129</v>
      </c>
      <c r="GS10" s="21" t="s">
        <v>30</v>
      </c>
      <c r="GT10" s="21" t="s">
        <v>130</v>
      </c>
      <c r="GU10" s="21" t="s">
        <v>30</v>
      </c>
      <c r="GV10" s="21" t="s">
        <v>131</v>
      </c>
      <c r="GW10" s="21" t="s">
        <v>30</v>
      </c>
      <c r="GX10" s="21" t="s">
        <v>132</v>
      </c>
      <c r="GY10" s="21" t="s">
        <v>30</v>
      </c>
      <c r="GZ10" s="21" t="s">
        <v>133</v>
      </c>
      <c r="HA10" s="21" t="s">
        <v>30</v>
      </c>
      <c r="HB10" s="21" t="s">
        <v>134</v>
      </c>
      <c r="HC10" s="21" t="s">
        <v>30</v>
      </c>
      <c r="HD10" s="21" t="s">
        <v>135</v>
      </c>
      <c r="HE10" s="21" t="s">
        <v>30</v>
      </c>
      <c r="HF10" s="21" t="s">
        <v>136</v>
      </c>
      <c r="HG10" s="21" t="s">
        <v>30</v>
      </c>
      <c r="HH10" s="21" t="s">
        <v>137</v>
      </c>
      <c r="HI10" s="21" t="s">
        <v>30</v>
      </c>
      <c r="HJ10" s="21" t="s">
        <v>138</v>
      </c>
      <c r="HK10" s="21" t="s">
        <v>30</v>
      </c>
      <c r="HL10" s="21" t="s">
        <v>139</v>
      </c>
      <c r="HM10" s="21" t="s">
        <v>30</v>
      </c>
      <c r="HN10" s="21" t="s">
        <v>140</v>
      </c>
      <c r="HO10" s="21" t="s">
        <v>30</v>
      </c>
      <c r="HP10" s="21" t="s">
        <v>141</v>
      </c>
      <c r="HQ10" s="21" t="s">
        <v>30</v>
      </c>
      <c r="HR10" s="21" t="s">
        <v>142</v>
      </c>
      <c r="HS10" s="21" t="s">
        <v>30</v>
      </c>
      <c r="HT10" s="21" t="s">
        <v>143</v>
      </c>
      <c r="HU10" s="21" t="s">
        <v>30</v>
      </c>
      <c r="HV10" s="21" t="s">
        <v>144</v>
      </c>
      <c r="HW10" s="21" t="s">
        <v>30</v>
      </c>
      <c r="HX10" s="21" t="s">
        <v>145</v>
      </c>
      <c r="HY10" s="21" t="s">
        <v>30</v>
      </c>
      <c r="HZ10" s="21" t="s">
        <v>146</v>
      </c>
      <c r="IA10" s="21" t="s">
        <v>30</v>
      </c>
      <c r="IB10" s="21" t="s">
        <v>147</v>
      </c>
      <c r="IC10" s="21" t="s">
        <v>30</v>
      </c>
      <c r="ID10" s="21" t="s">
        <v>148</v>
      </c>
      <c r="IE10" s="21" t="s">
        <v>30</v>
      </c>
      <c r="IF10" s="21" t="s">
        <v>149</v>
      </c>
      <c r="IG10" s="21" t="s">
        <v>30</v>
      </c>
      <c r="IH10" s="21" t="s">
        <v>150</v>
      </c>
      <c r="II10" s="21" t="s">
        <v>30</v>
      </c>
      <c r="IJ10" s="21" t="s">
        <v>151</v>
      </c>
      <c r="IK10" s="21" t="s">
        <v>30</v>
      </c>
      <c r="IL10" s="21" t="s">
        <v>152</v>
      </c>
      <c r="IM10" s="21" t="s">
        <v>30</v>
      </c>
      <c r="IN10" s="21" t="s">
        <v>153</v>
      </c>
      <c r="IO10" s="21" t="s">
        <v>30</v>
      </c>
      <c r="IP10" s="21" t="s">
        <v>154</v>
      </c>
      <c r="IQ10" s="21" t="s">
        <v>30</v>
      </c>
      <c r="IR10" s="21" t="s">
        <v>155</v>
      </c>
      <c r="IS10" s="21" t="s">
        <v>30</v>
      </c>
      <c r="IT10" s="21" t="s">
        <v>156</v>
      </c>
      <c r="IU10" s="21" t="s">
        <v>30</v>
      </c>
      <c r="IV10" s="21" t="s">
        <v>157</v>
      </c>
      <c r="IW10" s="21" t="s">
        <v>30</v>
      </c>
      <c r="IX10" s="21" t="s">
        <v>158</v>
      </c>
      <c r="IY10" s="21" t="s">
        <v>30</v>
      </c>
      <c r="IZ10" s="21" t="s">
        <v>159</v>
      </c>
      <c r="JA10" s="21" t="s">
        <v>30</v>
      </c>
      <c r="JB10" s="21" t="s">
        <v>160</v>
      </c>
      <c r="JC10" s="21" t="s">
        <v>30</v>
      </c>
      <c r="JD10" s="21" t="s">
        <v>161</v>
      </c>
      <c r="JE10" s="21" t="s">
        <v>30</v>
      </c>
      <c r="JF10" s="21" t="s">
        <v>162</v>
      </c>
      <c r="JG10" s="21" t="s">
        <v>30</v>
      </c>
      <c r="JH10" s="21" t="s">
        <v>163</v>
      </c>
      <c r="JI10" s="21" t="s">
        <v>30</v>
      </c>
      <c r="JJ10" s="21" t="s">
        <v>164</v>
      </c>
      <c r="JK10" s="21" t="s">
        <v>30</v>
      </c>
      <c r="JL10" s="21" t="s">
        <v>165</v>
      </c>
      <c r="JM10" s="21" t="s">
        <v>30</v>
      </c>
      <c r="JN10" s="21" t="s">
        <v>166</v>
      </c>
      <c r="JO10" s="21" t="s">
        <v>30</v>
      </c>
      <c r="JP10" s="21" t="s">
        <v>167</v>
      </c>
      <c r="JQ10" s="21" t="s">
        <v>30</v>
      </c>
      <c r="JR10" s="21" t="s">
        <v>168</v>
      </c>
      <c r="JS10" s="21" t="s">
        <v>30</v>
      </c>
      <c r="JT10" s="21" t="s">
        <v>169</v>
      </c>
      <c r="JU10" s="21" t="s">
        <v>30</v>
      </c>
      <c r="JV10" s="21" t="s">
        <v>170</v>
      </c>
      <c r="JW10" s="21" t="s">
        <v>30</v>
      </c>
      <c r="JX10" s="21" t="s">
        <v>171</v>
      </c>
      <c r="JY10" s="21" t="s">
        <v>30</v>
      </c>
      <c r="JZ10" s="21" t="s">
        <v>172</v>
      </c>
      <c r="KA10" s="21" t="s">
        <v>30</v>
      </c>
      <c r="KB10" s="21" t="s">
        <v>173</v>
      </c>
      <c r="KC10" s="21" t="s">
        <v>30</v>
      </c>
      <c r="KD10" s="21" t="s">
        <v>174</v>
      </c>
      <c r="KE10" s="21" t="s">
        <v>30</v>
      </c>
      <c r="KF10" s="21" t="s">
        <v>175</v>
      </c>
      <c r="KG10" s="21" t="s">
        <v>30</v>
      </c>
      <c r="KH10" s="21" t="s">
        <v>176</v>
      </c>
      <c r="KI10" s="21" t="s">
        <v>30</v>
      </c>
      <c r="KJ10" s="21" t="s">
        <v>177</v>
      </c>
      <c r="KK10" s="21" t="s">
        <v>30</v>
      </c>
      <c r="KL10" s="21" t="s">
        <v>178</v>
      </c>
      <c r="KM10" s="21" t="s">
        <v>30</v>
      </c>
      <c r="KN10" s="21" t="s">
        <v>179</v>
      </c>
      <c r="KO10" s="21" t="s">
        <v>30</v>
      </c>
      <c r="KP10" s="21" t="s">
        <v>180</v>
      </c>
      <c r="KQ10" s="21" t="s">
        <v>30</v>
      </c>
      <c r="KR10" s="21" t="s">
        <v>181</v>
      </c>
      <c r="KS10" s="21" t="s">
        <v>30</v>
      </c>
      <c r="KT10" s="21" t="s">
        <v>182</v>
      </c>
      <c r="KU10" s="21" t="s">
        <v>30</v>
      </c>
      <c r="KV10" s="21" t="s">
        <v>183</v>
      </c>
      <c r="KW10" s="21" t="s">
        <v>30</v>
      </c>
      <c r="KX10" s="21" t="s">
        <v>184</v>
      </c>
      <c r="KY10" s="21" t="s">
        <v>30</v>
      </c>
      <c r="KZ10" s="21" t="s">
        <v>185</v>
      </c>
      <c r="LA10" s="21" t="s">
        <v>30</v>
      </c>
      <c r="LB10" s="21" t="s">
        <v>186</v>
      </c>
      <c r="LC10" s="21" t="s">
        <v>30</v>
      </c>
      <c r="LD10" s="21" t="s">
        <v>187</v>
      </c>
      <c r="LE10" s="21" t="s">
        <v>30</v>
      </c>
      <c r="LF10" s="21" t="s">
        <v>188</v>
      </c>
      <c r="LG10" s="21" t="s">
        <v>30</v>
      </c>
      <c r="LH10" s="21" t="s">
        <v>189</v>
      </c>
      <c r="LI10" s="21" t="s">
        <v>30</v>
      </c>
      <c r="LJ10" s="21" t="s">
        <v>190</v>
      </c>
      <c r="LK10" s="21" t="s">
        <v>30</v>
      </c>
      <c r="LL10" s="21" t="s">
        <v>191</v>
      </c>
      <c r="LM10" s="21" t="s">
        <v>30</v>
      </c>
      <c r="LN10" s="21" t="s">
        <v>192</v>
      </c>
      <c r="LO10" s="21" t="s">
        <v>30</v>
      </c>
      <c r="LP10" s="21" t="s">
        <v>193</v>
      </c>
      <c r="LQ10" s="21" t="s">
        <v>30</v>
      </c>
      <c r="LR10" s="21" t="s">
        <v>194</v>
      </c>
      <c r="LS10" s="21" t="s">
        <v>30</v>
      </c>
      <c r="LT10" s="21" t="s">
        <v>195</v>
      </c>
      <c r="LU10" s="21" t="s">
        <v>30</v>
      </c>
      <c r="LV10" s="21" t="s">
        <v>196</v>
      </c>
      <c r="LW10" s="21" t="s">
        <v>30</v>
      </c>
      <c r="LX10" s="21" t="s">
        <v>197</v>
      </c>
      <c r="LY10" s="21" t="s">
        <v>30</v>
      </c>
      <c r="LZ10" s="21" t="s">
        <v>198</v>
      </c>
      <c r="MA10" s="21" t="s">
        <v>30</v>
      </c>
      <c r="MB10" s="21" t="s">
        <v>199</v>
      </c>
      <c r="MC10" s="21" t="s">
        <v>30</v>
      </c>
      <c r="MD10" s="21" t="s">
        <v>200</v>
      </c>
      <c r="ME10" s="21" t="s">
        <v>30</v>
      </c>
      <c r="MF10" s="21" t="s">
        <v>201</v>
      </c>
      <c r="MG10" s="21" t="s">
        <v>30</v>
      </c>
      <c r="MH10" s="21" t="s">
        <v>202</v>
      </c>
      <c r="MI10" s="21" t="s">
        <v>30</v>
      </c>
      <c r="MJ10" s="21" t="s">
        <v>203</v>
      </c>
      <c r="MK10" s="21" t="s">
        <v>30</v>
      </c>
      <c r="ML10" s="21" t="s">
        <v>204</v>
      </c>
      <c r="MM10" s="21" t="s">
        <v>30</v>
      </c>
      <c r="MN10" s="21" t="s">
        <v>205</v>
      </c>
      <c r="MO10" s="21" t="s">
        <v>30</v>
      </c>
      <c r="MP10" s="21" t="s">
        <v>206</v>
      </c>
      <c r="MQ10" s="21" t="s">
        <v>30</v>
      </c>
      <c r="MR10" s="21" t="s">
        <v>207</v>
      </c>
      <c r="MS10" s="21" t="s">
        <v>30</v>
      </c>
      <c r="MT10" s="21" t="s">
        <v>208</v>
      </c>
      <c r="MU10" s="21" t="s">
        <v>30</v>
      </c>
      <c r="MV10" s="21" t="s">
        <v>209</v>
      </c>
      <c r="MW10" s="21" t="s">
        <v>30</v>
      </c>
      <c r="MX10" s="21" t="s">
        <v>210</v>
      </c>
      <c r="MY10" s="21" t="s">
        <v>30</v>
      </c>
      <c r="MZ10" s="21" t="s">
        <v>211</v>
      </c>
      <c r="NA10" s="21" t="s">
        <v>30</v>
      </c>
      <c r="NB10" s="21" t="s">
        <v>212</v>
      </c>
      <c r="NC10" s="21" t="s">
        <v>30</v>
      </c>
      <c r="ND10" s="21" t="s">
        <v>213</v>
      </c>
      <c r="NE10" s="21" t="s">
        <v>30</v>
      </c>
      <c r="NF10" s="21" t="s">
        <v>214</v>
      </c>
      <c r="NG10" s="21" t="s">
        <v>30</v>
      </c>
      <c r="NH10" s="21" t="s">
        <v>215</v>
      </c>
      <c r="NI10" s="21" t="s">
        <v>30</v>
      </c>
      <c r="NJ10" s="21" t="s">
        <v>216</v>
      </c>
      <c r="NK10" s="21" t="s">
        <v>30</v>
      </c>
      <c r="NL10" s="21" t="s">
        <v>217</v>
      </c>
      <c r="NM10" s="21" t="s">
        <v>30</v>
      </c>
      <c r="NN10" s="21" t="s">
        <v>218</v>
      </c>
      <c r="NO10" s="21" t="s">
        <v>30</v>
      </c>
      <c r="NP10" s="21" t="s">
        <v>219</v>
      </c>
      <c r="NQ10" s="21" t="s">
        <v>30</v>
      </c>
      <c r="NR10" s="21" t="s">
        <v>220</v>
      </c>
      <c r="NS10" s="21" t="s">
        <v>30</v>
      </c>
      <c r="NT10" s="21" t="s">
        <v>221</v>
      </c>
      <c r="NU10" s="21" t="s">
        <v>30</v>
      </c>
      <c r="NV10" s="21" t="s">
        <v>222</v>
      </c>
      <c r="NW10" s="21" t="s">
        <v>30</v>
      </c>
      <c r="NX10" s="21" t="s">
        <v>223</v>
      </c>
      <c r="NY10" s="21" t="s">
        <v>30</v>
      </c>
      <c r="NZ10" s="21" t="s">
        <v>224</v>
      </c>
      <c r="OA10" s="21" t="s">
        <v>30</v>
      </c>
      <c r="OB10" s="21" t="s">
        <v>225</v>
      </c>
      <c r="OC10" s="21" t="s">
        <v>30</v>
      </c>
      <c r="OD10" s="21" t="s">
        <v>226</v>
      </c>
      <c r="OE10" s="21" t="s">
        <v>30</v>
      </c>
      <c r="OF10" s="21" t="s">
        <v>227</v>
      </c>
      <c r="OG10" s="21" t="s">
        <v>30</v>
      </c>
      <c r="OH10" s="21" t="s">
        <v>228</v>
      </c>
      <c r="OI10" s="21" t="s">
        <v>30</v>
      </c>
      <c r="OJ10" s="21" t="s">
        <v>229</v>
      </c>
      <c r="OK10" s="21" t="s">
        <v>30</v>
      </c>
      <c r="OL10" s="21" t="s">
        <v>230</v>
      </c>
      <c r="OM10" s="21" t="s">
        <v>30</v>
      </c>
      <c r="ON10" s="21" t="s">
        <v>231</v>
      </c>
      <c r="OO10" s="21" t="s">
        <v>30</v>
      </c>
      <c r="OP10" s="21" t="s">
        <v>232</v>
      </c>
      <c r="OQ10" s="21" t="s">
        <v>30</v>
      </c>
    </row>
    <row r="11" spans="1:407" x14ac:dyDescent="0.3">
      <c r="A11" s="10" t="s">
        <v>233</v>
      </c>
      <c r="B11" s="11" t="s">
        <v>30</v>
      </c>
      <c r="C11" s="11" t="s">
        <v>30</v>
      </c>
      <c r="D11" s="11" t="s">
        <v>30</v>
      </c>
      <c r="E11" s="11" t="s">
        <v>30</v>
      </c>
      <c r="F11" s="11" t="s">
        <v>30</v>
      </c>
      <c r="G11" s="11" t="s">
        <v>30</v>
      </c>
      <c r="H11" s="11" t="s">
        <v>30</v>
      </c>
      <c r="I11" s="11" t="s">
        <v>30</v>
      </c>
      <c r="J11" s="11" t="s">
        <v>30</v>
      </c>
      <c r="K11" s="11" t="s">
        <v>30</v>
      </c>
      <c r="L11" s="11" t="s">
        <v>30</v>
      </c>
      <c r="M11" s="11" t="s">
        <v>30</v>
      </c>
      <c r="N11" s="11" t="s">
        <v>30</v>
      </c>
      <c r="O11" s="11" t="s">
        <v>30</v>
      </c>
      <c r="P11" s="11" t="s">
        <v>30</v>
      </c>
      <c r="Q11" s="11" t="s">
        <v>30</v>
      </c>
      <c r="R11" s="11" t="s">
        <v>30</v>
      </c>
      <c r="S11" s="11" t="s">
        <v>30</v>
      </c>
      <c r="T11" s="11" t="s">
        <v>30</v>
      </c>
      <c r="U11" s="11" t="s">
        <v>30</v>
      </c>
      <c r="V11" s="11" t="s">
        <v>30</v>
      </c>
      <c r="W11" s="11" t="s">
        <v>30</v>
      </c>
      <c r="X11" s="11" t="s">
        <v>30</v>
      </c>
      <c r="Y11" s="11" t="s">
        <v>30</v>
      </c>
      <c r="Z11" s="11" t="s">
        <v>30</v>
      </c>
      <c r="AA11" s="11" t="s">
        <v>30</v>
      </c>
      <c r="AB11" s="11" t="s">
        <v>30</v>
      </c>
      <c r="AC11" s="11" t="s">
        <v>30</v>
      </c>
      <c r="AD11" s="11" t="s">
        <v>30</v>
      </c>
      <c r="AE11" s="11" t="s">
        <v>30</v>
      </c>
      <c r="AF11" s="11" t="s">
        <v>30</v>
      </c>
      <c r="AG11" s="11" t="s">
        <v>30</v>
      </c>
      <c r="AH11" s="11" t="s">
        <v>30</v>
      </c>
      <c r="AI11" s="11" t="s">
        <v>30</v>
      </c>
      <c r="AJ11" s="11" t="s">
        <v>30</v>
      </c>
      <c r="AK11" s="11" t="s">
        <v>30</v>
      </c>
      <c r="AL11" s="11" t="s">
        <v>30</v>
      </c>
      <c r="AM11" s="11" t="s">
        <v>30</v>
      </c>
      <c r="AN11" s="11" t="s">
        <v>30</v>
      </c>
      <c r="AO11" s="11" t="s">
        <v>30</v>
      </c>
      <c r="AP11" s="11" t="s">
        <v>30</v>
      </c>
      <c r="AQ11" s="11" t="s">
        <v>30</v>
      </c>
      <c r="AR11" s="11" t="s">
        <v>30</v>
      </c>
      <c r="AS11" s="11" t="s">
        <v>30</v>
      </c>
      <c r="AT11" s="11" t="s">
        <v>30</v>
      </c>
      <c r="AU11" s="11" t="s">
        <v>30</v>
      </c>
      <c r="AV11" s="11" t="s">
        <v>30</v>
      </c>
      <c r="AW11" s="11" t="s">
        <v>30</v>
      </c>
      <c r="AX11" s="11" t="s">
        <v>30</v>
      </c>
      <c r="AY11" s="11" t="s">
        <v>30</v>
      </c>
      <c r="AZ11" s="11" t="s">
        <v>30</v>
      </c>
      <c r="BA11" s="11" t="s">
        <v>30</v>
      </c>
      <c r="BB11" s="11" t="s">
        <v>30</v>
      </c>
      <c r="BC11" s="11" t="s">
        <v>30</v>
      </c>
      <c r="BD11" s="11" t="s">
        <v>30</v>
      </c>
      <c r="BE11" s="11" t="s">
        <v>30</v>
      </c>
      <c r="BF11" s="11" t="s">
        <v>30</v>
      </c>
      <c r="BG11" s="11" t="s">
        <v>30</v>
      </c>
      <c r="BH11" s="11" t="s">
        <v>30</v>
      </c>
      <c r="BI11" s="11" t="s">
        <v>30</v>
      </c>
      <c r="BJ11" s="11" t="s">
        <v>30</v>
      </c>
      <c r="BK11" s="11" t="s">
        <v>30</v>
      </c>
      <c r="BL11" s="11" t="s">
        <v>30</v>
      </c>
      <c r="BM11" s="11" t="s">
        <v>30</v>
      </c>
      <c r="BN11" s="11" t="s">
        <v>30</v>
      </c>
      <c r="BO11" s="11" t="s">
        <v>30</v>
      </c>
      <c r="BP11" s="11" t="s">
        <v>30</v>
      </c>
      <c r="BQ11" s="11" t="s">
        <v>30</v>
      </c>
      <c r="BR11" s="11" t="s">
        <v>30</v>
      </c>
      <c r="BS11" s="11" t="s">
        <v>30</v>
      </c>
      <c r="BT11" s="11" t="s">
        <v>30</v>
      </c>
      <c r="BU11" s="11" t="s">
        <v>30</v>
      </c>
      <c r="BV11" s="11" t="s">
        <v>30</v>
      </c>
      <c r="BW11" s="11" t="s">
        <v>30</v>
      </c>
      <c r="BX11" s="11" t="s">
        <v>30</v>
      </c>
      <c r="BY11" s="11" t="s">
        <v>30</v>
      </c>
      <c r="BZ11" s="11" t="s">
        <v>30</v>
      </c>
      <c r="CA11" s="11" t="s">
        <v>30</v>
      </c>
      <c r="CB11" s="11" t="s">
        <v>30</v>
      </c>
      <c r="CC11" s="11" t="s">
        <v>30</v>
      </c>
      <c r="CD11" s="11" t="s">
        <v>30</v>
      </c>
      <c r="CE11" s="11" t="s">
        <v>30</v>
      </c>
      <c r="CF11" s="11" t="s">
        <v>30</v>
      </c>
      <c r="CG11" s="11" t="s">
        <v>30</v>
      </c>
      <c r="CH11" s="11" t="s">
        <v>30</v>
      </c>
      <c r="CI11" s="11" t="s">
        <v>30</v>
      </c>
      <c r="CJ11" s="11" t="s">
        <v>30</v>
      </c>
      <c r="CK11" s="11" t="s">
        <v>30</v>
      </c>
      <c r="CL11" s="11" t="s">
        <v>30</v>
      </c>
      <c r="CM11" s="11" t="s">
        <v>30</v>
      </c>
      <c r="CN11" s="11" t="s">
        <v>30</v>
      </c>
      <c r="CO11" s="11" t="s">
        <v>30</v>
      </c>
      <c r="CP11" s="11" t="s">
        <v>30</v>
      </c>
      <c r="CQ11" s="11" t="s">
        <v>30</v>
      </c>
      <c r="CR11" s="11" t="s">
        <v>30</v>
      </c>
      <c r="CS11" s="11" t="s">
        <v>30</v>
      </c>
      <c r="CT11" s="11" t="s">
        <v>30</v>
      </c>
      <c r="CU11" s="11" t="s">
        <v>30</v>
      </c>
      <c r="CV11" s="11" t="s">
        <v>30</v>
      </c>
      <c r="CW11" s="11" t="s">
        <v>30</v>
      </c>
      <c r="CX11" s="11" t="s">
        <v>30</v>
      </c>
      <c r="CY11" s="11" t="s">
        <v>30</v>
      </c>
      <c r="CZ11" s="11" t="s">
        <v>30</v>
      </c>
      <c r="DA11" s="11" t="s">
        <v>30</v>
      </c>
      <c r="DB11" s="11" t="s">
        <v>30</v>
      </c>
      <c r="DC11" s="11" t="s">
        <v>30</v>
      </c>
      <c r="DD11" s="11" t="s">
        <v>30</v>
      </c>
      <c r="DE11" s="11" t="s">
        <v>30</v>
      </c>
      <c r="DF11" s="11" t="s">
        <v>30</v>
      </c>
      <c r="DG11" s="11" t="s">
        <v>30</v>
      </c>
      <c r="DH11" s="11" t="s">
        <v>30</v>
      </c>
      <c r="DI11" s="11" t="s">
        <v>30</v>
      </c>
      <c r="DJ11" s="11" t="s">
        <v>30</v>
      </c>
      <c r="DK11" s="11" t="s">
        <v>30</v>
      </c>
      <c r="DL11" s="11" t="s">
        <v>30</v>
      </c>
      <c r="DM11" s="11" t="s">
        <v>30</v>
      </c>
      <c r="DN11" s="11" t="s">
        <v>30</v>
      </c>
      <c r="DO11" s="11" t="s">
        <v>30</v>
      </c>
      <c r="DP11" s="11" t="s">
        <v>30</v>
      </c>
      <c r="DQ11" s="11" t="s">
        <v>30</v>
      </c>
      <c r="DR11" s="11" t="s">
        <v>30</v>
      </c>
      <c r="DS11" s="11" t="s">
        <v>30</v>
      </c>
      <c r="DT11" s="11" t="s">
        <v>30</v>
      </c>
      <c r="DU11" s="11" t="s">
        <v>30</v>
      </c>
      <c r="DV11" s="11" t="s">
        <v>30</v>
      </c>
      <c r="DW11" s="11" t="s">
        <v>30</v>
      </c>
      <c r="DX11" s="11" t="s">
        <v>30</v>
      </c>
      <c r="DY11" s="11" t="s">
        <v>30</v>
      </c>
      <c r="DZ11" s="11" t="s">
        <v>30</v>
      </c>
      <c r="EA11" s="11" t="s">
        <v>30</v>
      </c>
      <c r="EB11" s="11" t="s">
        <v>30</v>
      </c>
      <c r="EC11" s="11" t="s">
        <v>30</v>
      </c>
      <c r="ED11" s="11" t="s">
        <v>30</v>
      </c>
      <c r="EE11" s="11" t="s">
        <v>30</v>
      </c>
      <c r="EF11" s="11" t="s">
        <v>30</v>
      </c>
      <c r="EG11" s="11" t="s">
        <v>30</v>
      </c>
      <c r="EH11" s="11" t="s">
        <v>30</v>
      </c>
      <c r="EI11" s="11" t="s">
        <v>30</v>
      </c>
      <c r="EJ11" s="11" t="s">
        <v>30</v>
      </c>
      <c r="EK11" s="11" t="s">
        <v>30</v>
      </c>
      <c r="EL11" s="11" t="s">
        <v>30</v>
      </c>
      <c r="EM11" s="11" t="s">
        <v>30</v>
      </c>
      <c r="EN11" s="11" t="s">
        <v>30</v>
      </c>
      <c r="EO11" s="11" t="s">
        <v>30</v>
      </c>
      <c r="EP11" s="11" t="s">
        <v>30</v>
      </c>
      <c r="EQ11" s="11" t="s">
        <v>30</v>
      </c>
      <c r="ER11" s="11" t="s">
        <v>30</v>
      </c>
      <c r="ES11" s="11" t="s">
        <v>30</v>
      </c>
      <c r="ET11" s="11" t="s">
        <v>30</v>
      </c>
      <c r="EU11" s="11" t="s">
        <v>30</v>
      </c>
      <c r="EV11" s="11" t="s">
        <v>30</v>
      </c>
      <c r="EW11" s="11" t="s">
        <v>30</v>
      </c>
      <c r="EX11" s="11" t="s">
        <v>30</v>
      </c>
      <c r="EY11" s="11" t="s">
        <v>30</v>
      </c>
      <c r="EZ11" s="11" t="s">
        <v>30</v>
      </c>
      <c r="FA11" s="11" t="s">
        <v>30</v>
      </c>
      <c r="FB11" s="11" t="s">
        <v>30</v>
      </c>
      <c r="FC11" s="11" t="s">
        <v>30</v>
      </c>
      <c r="FD11" s="11" t="s">
        <v>30</v>
      </c>
      <c r="FE11" s="11" t="s">
        <v>30</v>
      </c>
      <c r="FF11" s="11" t="s">
        <v>30</v>
      </c>
      <c r="FG11" s="11" t="s">
        <v>30</v>
      </c>
      <c r="FH11" s="11" t="s">
        <v>30</v>
      </c>
      <c r="FI11" s="11" t="s">
        <v>30</v>
      </c>
      <c r="FJ11" s="11" t="s">
        <v>30</v>
      </c>
      <c r="FK11" s="11" t="s">
        <v>30</v>
      </c>
      <c r="FL11" s="11" t="s">
        <v>30</v>
      </c>
      <c r="FM11" s="11" t="s">
        <v>30</v>
      </c>
      <c r="FN11" s="11" t="s">
        <v>30</v>
      </c>
      <c r="FO11" s="11" t="s">
        <v>30</v>
      </c>
      <c r="FP11" s="11" t="s">
        <v>30</v>
      </c>
      <c r="FQ11" s="11" t="s">
        <v>30</v>
      </c>
      <c r="FR11" s="11" t="s">
        <v>30</v>
      </c>
      <c r="FS11" s="11" t="s">
        <v>30</v>
      </c>
      <c r="FT11" s="11" t="s">
        <v>30</v>
      </c>
      <c r="FU11" s="11" t="s">
        <v>30</v>
      </c>
      <c r="FV11" s="11" t="s">
        <v>30</v>
      </c>
      <c r="FW11" s="11" t="s">
        <v>30</v>
      </c>
      <c r="FX11" s="11" t="s">
        <v>30</v>
      </c>
      <c r="FY11" s="11" t="s">
        <v>30</v>
      </c>
      <c r="FZ11" s="11" t="s">
        <v>30</v>
      </c>
      <c r="GA11" s="11" t="s">
        <v>30</v>
      </c>
      <c r="GB11" s="11" t="s">
        <v>30</v>
      </c>
      <c r="GC11" s="11" t="s">
        <v>30</v>
      </c>
      <c r="GD11" s="11" t="s">
        <v>30</v>
      </c>
      <c r="GE11" s="11" t="s">
        <v>30</v>
      </c>
      <c r="GF11" s="11" t="s">
        <v>30</v>
      </c>
      <c r="GG11" s="11" t="s">
        <v>30</v>
      </c>
      <c r="GH11" s="11" t="s">
        <v>30</v>
      </c>
      <c r="GI11" s="11" t="s">
        <v>30</v>
      </c>
      <c r="GJ11" s="11" t="s">
        <v>30</v>
      </c>
      <c r="GK11" s="11" t="s">
        <v>30</v>
      </c>
      <c r="GL11" s="11" t="s">
        <v>30</v>
      </c>
      <c r="GM11" s="11" t="s">
        <v>30</v>
      </c>
      <c r="GN11" s="11" t="s">
        <v>30</v>
      </c>
      <c r="GO11" s="11" t="s">
        <v>30</v>
      </c>
      <c r="GP11" s="11" t="s">
        <v>30</v>
      </c>
      <c r="GQ11" s="11" t="s">
        <v>30</v>
      </c>
      <c r="GR11" s="11" t="s">
        <v>30</v>
      </c>
      <c r="GS11" s="11" t="s">
        <v>30</v>
      </c>
      <c r="GT11" s="11" t="s">
        <v>30</v>
      </c>
      <c r="GU11" s="11" t="s">
        <v>30</v>
      </c>
      <c r="GV11" s="11" t="s">
        <v>30</v>
      </c>
      <c r="GW11" s="11" t="s">
        <v>30</v>
      </c>
      <c r="GX11" s="11" t="s">
        <v>30</v>
      </c>
      <c r="GY11" s="11" t="s">
        <v>30</v>
      </c>
      <c r="GZ11" s="11" t="s">
        <v>30</v>
      </c>
      <c r="HA11" s="11" t="s">
        <v>30</v>
      </c>
      <c r="HB11" s="11" t="s">
        <v>30</v>
      </c>
      <c r="HC11" s="11" t="s">
        <v>30</v>
      </c>
      <c r="HD11" s="11" t="s">
        <v>30</v>
      </c>
      <c r="HE11" s="11" t="s">
        <v>30</v>
      </c>
      <c r="HF11" s="11" t="s">
        <v>30</v>
      </c>
      <c r="HG11" s="11" t="s">
        <v>30</v>
      </c>
      <c r="HH11" s="11" t="s">
        <v>30</v>
      </c>
      <c r="HI11" s="11" t="s">
        <v>30</v>
      </c>
      <c r="HJ11" s="11" t="s">
        <v>30</v>
      </c>
      <c r="HK11" s="11" t="s">
        <v>30</v>
      </c>
      <c r="HL11" s="11" t="s">
        <v>30</v>
      </c>
      <c r="HM11" s="11" t="s">
        <v>30</v>
      </c>
      <c r="HN11" s="11" t="s">
        <v>30</v>
      </c>
      <c r="HO11" s="11" t="s">
        <v>30</v>
      </c>
      <c r="HP11" s="11" t="s">
        <v>30</v>
      </c>
      <c r="HQ11" s="11" t="s">
        <v>30</v>
      </c>
      <c r="HR11" s="11" t="s">
        <v>30</v>
      </c>
      <c r="HS11" s="11" t="s">
        <v>30</v>
      </c>
      <c r="HT11" s="11" t="s">
        <v>30</v>
      </c>
      <c r="HU11" s="11" t="s">
        <v>30</v>
      </c>
      <c r="HV11" s="11" t="s">
        <v>30</v>
      </c>
      <c r="HW11" s="11" t="s">
        <v>30</v>
      </c>
      <c r="HX11" s="11" t="s">
        <v>30</v>
      </c>
      <c r="HY11" s="11" t="s">
        <v>30</v>
      </c>
      <c r="HZ11" s="11" t="s">
        <v>30</v>
      </c>
      <c r="IA11" s="11" t="s">
        <v>30</v>
      </c>
      <c r="IB11" s="11" t="s">
        <v>30</v>
      </c>
      <c r="IC11" s="11" t="s">
        <v>30</v>
      </c>
      <c r="ID11" s="11" t="s">
        <v>30</v>
      </c>
      <c r="IE11" s="11" t="s">
        <v>30</v>
      </c>
      <c r="IF11" s="11" t="s">
        <v>30</v>
      </c>
      <c r="IG11" s="11" t="s">
        <v>30</v>
      </c>
      <c r="IH11" s="11" t="s">
        <v>30</v>
      </c>
      <c r="II11" s="11" t="s">
        <v>30</v>
      </c>
      <c r="IJ11" s="11" t="s">
        <v>30</v>
      </c>
      <c r="IK11" s="11" t="s">
        <v>30</v>
      </c>
      <c r="IL11" s="11" t="s">
        <v>30</v>
      </c>
      <c r="IM11" s="11" t="s">
        <v>30</v>
      </c>
      <c r="IN11" s="11" t="s">
        <v>30</v>
      </c>
      <c r="IO11" s="11" t="s">
        <v>30</v>
      </c>
      <c r="IP11" s="11" t="s">
        <v>30</v>
      </c>
      <c r="IQ11" s="11" t="s">
        <v>30</v>
      </c>
      <c r="IR11" s="11" t="s">
        <v>30</v>
      </c>
      <c r="IS11" s="11" t="s">
        <v>30</v>
      </c>
      <c r="IT11" s="11" t="s">
        <v>30</v>
      </c>
      <c r="IU11" s="11" t="s">
        <v>30</v>
      </c>
      <c r="IV11" s="11" t="s">
        <v>30</v>
      </c>
      <c r="IW11" s="11" t="s">
        <v>30</v>
      </c>
      <c r="IX11" s="11" t="s">
        <v>30</v>
      </c>
      <c r="IY11" s="11" t="s">
        <v>30</v>
      </c>
      <c r="IZ11" s="11" t="s">
        <v>30</v>
      </c>
      <c r="JA11" s="11" t="s">
        <v>30</v>
      </c>
      <c r="JB11" s="11" t="s">
        <v>30</v>
      </c>
      <c r="JC11" s="11" t="s">
        <v>30</v>
      </c>
      <c r="JD11" s="11" t="s">
        <v>30</v>
      </c>
      <c r="JE11" s="11" t="s">
        <v>30</v>
      </c>
      <c r="JF11" s="11" t="s">
        <v>30</v>
      </c>
      <c r="JG11" s="11" t="s">
        <v>30</v>
      </c>
      <c r="JH11" s="11" t="s">
        <v>30</v>
      </c>
      <c r="JI11" s="11" t="s">
        <v>30</v>
      </c>
      <c r="JJ11" s="11" t="s">
        <v>30</v>
      </c>
      <c r="JK11" s="11" t="s">
        <v>30</v>
      </c>
      <c r="JL11" s="11" t="s">
        <v>30</v>
      </c>
      <c r="JM11" s="11" t="s">
        <v>30</v>
      </c>
      <c r="JN11" s="11" t="s">
        <v>30</v>
      </c>
      <c r="JO11" s="11" t="s">
        <v>30</v>
      </c>
      <c r="JP11" s="11" t="s">
        <v>30</v>
      </c>
      <c r="JQ11" s="11" t="s">
        <v>30</v>
      </c>
      <c r="JR11" s="11" t="s">
        <v>30</v>
      </c>
      <c r="JS11" s="11" t="s">
        <v>30</v>
      </c>
      <c r="JT11" s="11" t="s">
        <v>30</v>
      </c>
      <c r="JU11" s="11" t="s">
        <v>30</v>
      </c>
      <c r="JV11" s="11" t="s">
        <v>30</v>
      </c>
      <c r="JW11" s="11" t="s">
        <v>30</v>
      </c>
      <c r="JX11" s="11" t="s">
        <v>30</v>
      </c>
      <c r="JY11" s="11" t="s">
        <v>30</v>
      </c>
      <c r="JZ11" s="11" t="s">
        <v>30</v>
      </c>
      <c r="KA11" s="11" t="s">
        <v>30</v>
      </c>
      <c r="KB11" s="11" t="s">
        <v>30</v>
      </c>
      <c r="KC11" s="11" t="s">
        <v>30</v>
      </c>
      <c r="KD11" s="11" t="s">
        <v>30</v>
      </c>
      <c r="KE11" s="11" t="s">
        <v>30</v>
      </c>
      <c r="KF11" s="11" t="s">
        <v>30</v>
      </c>
      <c r="KG11" s="11" t="s">
        <v>30</v>
      </c>
      <c r="KH11" s="11" t="s">
        <v>30</v>
      </c>
      <c r="KI11" s="11" t="s">
        <v>30</v>
      </c>
      <c r="KJ11" s="11" t="s">
        <v>30</v>
      </c>
      <c r="KK11" s="11" t="s">
        <v>30</v>
      </c>
      <c r="KL11" s="11" t="s">
        <v>30</v>
      </c>
      <c r="KM11" s="11" t="s">
        <v>30</v>
      </c>
      <c r="KN11" s="11" t="s">
        <v>30</v>
      </c>
      <c r="KO11" s="11" t="s">
        <v>30</v>
      </c>
      <c r="KP11" s="11" t="s">
        <v>30</v>
      </c>
      <c r="KQ11" s="11" t="s">
        <v>30</v>
      </c>
      <c r="KR11" s="11" t="s">
        <v>30</v>
      </c>
      <c r="KS11" s="11" t="s">
        <v>30</v>
      </c>
      <c r="KT11" s="11" t="s">
        <v>30</v>
      </c>
      <c r="KU11" s="11" t="s">
        <v>30</v>
      </c>
      <c r="KV11" s="11" t="s">
        <v>30</v>
      </c>
      <c r="KW11" s="11" t="s">
        <v>30</v>
      </c>
      <c r="KX11" s="11" t="s">
        <v>30</v>
      </c>
      <c r="KY11" s="11" t="s">
        <v>30</v>
      </c>
      <c r="KZ11" s="11" t="s">
        <v>30</v>
      </c>
      <c r="LA11" s="11" t="s">
        <v>30</v>
      </c>
      <c r="LB11" s="11" t="s">
        <v>30</v>
      </c>
      <c r="LC11" s="11" t="s">
        <v>30</v>
      </c>
      <c r="LD11" s="11" t="s">
        <v>30</v>
      </c>
      <c r="LE11" s="11" t="s">
        <v>30</v>
      </c>
      <c r="LF11" s="11" t="s">
        <v>30</v>
      </c>
      <c r="LG11" s="11" t="s">
        <v>30</v>
      </c>
      <c r="LH11" s="11" t="s">
        <v>30</v>
      </c>
      <c r="LI11" s="11" t="s">
        <v>30</v>
      </c>
      <c r="LJ11" s="11" t="s">
        <v>30</v>
      </c>
      <c r="LK11" s="11" t="s">
        <v>30</v>
      </c>
      <c r="LL11" s="11" t="s">
        <v>30</v>
      </c>
      <c r="LM11" s="11" t="s">
        <v>30</v>
      </c>
      <c r="LN11" s="11" t="s">
        <v>30</v>
      </c>
      <c r="LO11" s="11" t="s">
        <v>30</v>
      </c>
      <c r="LP11" s="11" t="s">
        <v>30</v>
      </c>
      <c r="LQ11" s="11" t="s">
        <v>30</v>
      </c>
      <c r="LR11" s="11" t="s">
        <v>30</v>
      </c>
      <c r="LS11" s="11" t="s">
        <v>30</v>
      </c>
      <c r="LT11" s="11" t="s">
        <v>30</v>
      </c>
      <c r="LU11" s="11" t="s">
        <v>30</v>
      </c>
      <c r="LV11" s="11" t="s">
        <v>30</v>
      </c>
      <c r="LW11" s="11" t="s">
        <v>30</v>
      </c>
      <c r="LX11" s="11" t="s">
        <v>30</v>
      </c>
      <c r="LY11" s="11" t="s">
        <v>30</v>
      </c>
      <c r="LZ11" s="11" t="s">
        <v>30</v>
      </c>
      <c r="MA11" s="11" t="s">
        <v>30</v>
      </c>
      <c r="MB11" s="11" t="s">
        <v>30</v>
      </c>
      <c r="MC11" s="11" t="s">
        <v>30</v>
      </c>
      <c r="MD11" s="11" t="s">
        <v>30</v>
      </c>
      <c r="ME11" s="11" t="s">
        <v>30</v>
      </c>
      <c r="MF11" s="11" t="s">
        <v>30</v>
      </c>
      <c r="MG11" s="11" t="s">
        <v>30</v>
      </c>
      <c r="MH11" s="11" t="s">
        <v>30</v>
      </c>
      <c r="MI11" s="11" t="s">
        <v>30</v>
      </c>
      <c r="MJ11" s="11" t="s">
        <v>30</v>
      </c>
      <c r="MK11" s="11" t="s">
        <v>30</v>
      </c>
      <c r="ML11" s="11" t="s">
        <v>30</v>
      </c>
      <c r="MM11" s="11" t="s">
        <v>30</v>
      </c>
      <c r="MN11" s="11" t="s">
        <v>30</v>
      </c>
      <c r="MO11" s="11" t="s">
        <v>30</v>
      </c>
      <c r="MP11" s="11" t="s">
        <v>30</v>
      </c>
      <c r="MQ11" s="11" t="s">
        <v>30</v>
      </c>
      <c r="MR11" s="11" t="s">
        <v>30</v>
      </c>
      <c r="MS11" s="11" t="s">
        <v>30</v>
      </c>
      <c r="MT11" s="11" t="s">
        <v>30</v>
      </c>
      <c r="MU11" s="11" t="s">
        <v>30</v>
      </c>
      <c r="MV11" s="11" t="s">
        <v>30</v>
      </c>
      <c r="MW11" s="11" t="s">
        <v>30</v>
      </c>
      <c r="MX11" s="11" t="s">
        <v>30</v>
      </c>
      <c r="MY11" s="11" t="s">
        <v>30</v>
      </c>
      <c r="MZ11" s="11" t="s">
        <v>30</v>
      </c>
      <c r="NA11" s="11" t="s">
        <v>30</v>
      </c>
      <c r="NB11" s="11" t="s">
        <v>30</v>
      </c>
      <c r="NC11" s="11" t="s">
        <v>30</v>
      </c>
      <c r="ND11" s="11" t="s">
        <v>30</v>
      </c>
      <c r="NE11" s="11" t="s">
        <v>30</v>
      </c>
      <c r="NF11" s="11" t="s">
        <v>30</v>
      </c>
      <c r="NG11" s="11" t="s">
        <v>30</v>
      </c>
      <c r="NH11" s="11" t="s">
        <v>30</v>
      </c>
      <c r="NI11" s="11" t="s">
        <v>30</v>
      </c>
      <c r="NJ11" s="11" t="s">
        <v>30</v>
      </c>
      <c r="NK11" s="11" t="s">
        <v>30</v>
      </c>
      <c r="NL11" s="11" t="s">
        <v>30</v>
      </c>
      <c r="NM11" s="11" t="s">
        <v>30</v>
      </c>
      <c r="NN11" s="11" t="s">
        <v>30</v>
      </c>
      <c r="NO11" s="11" t="s">
        <v>30</v>
      </c>
      <c r="NP11" s="11" t="s">
        <v>30</v>
      </c>
      <c r="NQ11" s="11" t="s">
        <v>30</v>
      </c>
      <c r="NR11" s="11" t="s">
        <v>30</v>
      </c>
      <c r="NS11" s="11" t="s">
        <v>30</v>
      </c>
      <c r="NT11" s="11" t="s">
        <v>30</v>
      </c>
      <c r="NU11" s="11" t="s">
        <v>30</v>
      </c>
      <c r="NV11" s="11" t="s">
        <v>30</v>
      </c>
      <c r="NW11" s="11" t="s">
        <v>30</v>
      </c>
      <c r="NX11" s="11" t="s">
        <v>30</v>
      </c>
      <c r="NY11" s="11" t="s">
        <v>30</v>
      </c>
      <c r="NZ11" s="11" t="s">
        <v>30</v>
      </c>
      <c r="OA11" s="11" t="s">
        <v>30</v>
      </c>
      <c r="OB11" s="11" t="s">
        <v>30</v>
      </c>
      <c r="OC11" s="11" t="s">
        <v>30</v>
      </c>
      <c r="OD11" s="11" t="s">
        <v>30</v>
      </c>
      <c r="OE11" s="11" t="s">
        <v>30</v>
      </c>
      <c r="OF11" s="11" t="s">
        <v>30</v>
      </c>
      <c r="OG11" s="11" t="s">
        <v>30</v>
      </c>
      <c r="OH11" s="11" t="s">
        <v>30</v>
      </c>
      <c r="OI11" s="11" t="s">
        <v>30</v>
      </c>
      <c r="OJ11" s="11" t="s">
        <v>30</v>
      </c>
      <c r="OK11" s="11" t="s">
        <v>30</v>
      </c>
      <c r="OL11" s="11" t="s">
        <v>30</v>
      </c>
      <c r="OM11" s="11" t="s">
        <v>30</v>
      </c>
      <c r="ON11" s="11" t="s">
        <v>30</v>
      </c>
      <c r="OO11" s="11" t="s">
        <v>30</v>
      </c>
      <c r="OP11" s="11" t="s">
        <v>30</v>
      </c>
      <c r="OQ11" s="11" t="s">
        <v>30</v>
      </c>
    </row>
    <row r="12" spans="1:407" x14ac:dyDescent="0.3">
      <c r="A12" s="12" t="s">
        <v>234</v>
      </c>
      <c r="B12" s="13" t="s">
        <v>235</v>
      </c>
      <c r="C12" s="13" t="s">
        <v>30</v>
      </c>
      <c r="D12" s="13" t="s">
        <v>235</v>
      </c>
      <c r="E12" s="13" t="s">
        <v>30</v>
      </c>
      <c r="F12" s="13" t="s">
        <v>235</v>
      </c>
      <c r="G12" s="13" t="s">
        <v>30</v>
      </c>
      <c r="H12" s="13" t="s">
        <v>235</v>
      </c>
      <c r="I12" s="13" t="s">
        <v>30</v>
      </c>
      <c r="J12" s="13" t="s">
        <v>235</v>
      </c>
      <c r="K12" s="13" t="s">
        <v>30</v>
      </c>
      <c r="L12" s="13" t="s">
        <v>235</v>
      </c>
      <c r="M12" s="13" t="s">
        <v>30</v>
      </c>
      <c r="N12" s="13" t="s">
        <v>235</v>
      </c>
      <c r="O12" s="13" t="s">
        <v>30</v>
      </c>
      <c r="P12" s="13" t="s">
        <v>235</v>
      </c>
      <c r="Q12" s="13" t="s">
        <v>30</v>
      </c>
      <c r="R12" s="13" t="s">
        <v>235</v>
      </c>
      <c r="S12" s="13" t="s">
        <v>30</v>
      </c>
      <c r="T12" s="13" t="s">
        <v>235</v>
      </c>
      <c r="U12" s="13" t="s">
        <v>30</v>
      </c>
      <c r="V12" s="13" t="s">
        <v>235</v>
      </c>
      <c r="W12" s="13" t="s">
        <v>30</v>
      </c>
      <c r="X12" s="13" t="s">
        <v>235</v>
      </c>
      <c r="Y12" s="13" t="s">
        <v>30</v>
      </c>
      <c r="Z12" s="13" t="s">
        <v>235</v>
      </c>
      <c r="AA12" s="13" t="s">
        <v>30</v>
      </c>
      <c r="AB12" s="13" t="s">
        <v>235</v>
      </c>
      <c r="AC12" s="13" t="s">
        <v>30</v>
      </c>
      <c r="AD12" s="13" t="s">
        <v>235</v>
      </c>
      <c r="AE12" s="13" t="s">
        <v>30</v>
      </c>
      <c r="AF12" s="13" t="s">
        <v>235</v>
      </c>
      <c r="AG12" s="13" t="s">
        <v>30</v>
      </c>
      <c r="AH12" s="13" t="s">
        <v>235</v>
      </c>
      <c r="AI12" s="13" t="s">
        <v>30</v>
      </c>
      <c r="AJ12" s="13" t="s">
        <v>235</v>
      </c>
      <c r="AK12" s="13" t="s">
        <v>30</v>
      </c>
      <c r="AL12" s="13" t="s">
        <v>235</v>
      </c>
      <c r="AM12" s="13" t="s">
        <v>30</v>
      </c>
      <c r="AN12" s="13" t="s">
        <v>235</v>
      </c>
      <c r="AO12" s="13" t="s">
        <v>30</v>
      </c>
      <c r="AP12" s="13" t="s">
        <v>235</v>
      </c>
      <c r="AQ12" s="13" t="s">
        <v>30</v>
      </c>
      <c r="AR12" s="13" t="s">
        <v>235</v>
      </c>
      <c r="AS12" s="13" t="s">
        <v>30</v>
      </c>
      <c r="AT12" s="13" t="s">
        <v>235</v>
      </c>
      <c r="AU12" s="13" t="s">
        <v>30</v>
      </c>
      <c r="AV12" s="13" t="s">
        <v>235</v>
      </c>
      <c r="AW12" s="13" t="s">
        <v>30</v>
      </c>
      <c r="AX12" s="13" t="s">
        <v>235</v>
      </c>
      <c r="AY12" s="13" t="s">
        <v>30</v>
      </c>
      <c r="AZ12" s="13" t="s">
        <v>235</v>
      </c>
      <c r="BA12" s="13" t="s">
        <v>30</v>
      </c>
      <c r="BB12" s="13" t="s">
        <v>235</v>
      </c>
      <c r="BC12" s="13" t="s">
        <v>30</v>
      </c>
      <c r="BD12" s="13" t="s">
        <v>235</v>
      </c>
      <c r="BE12" s="13" t="s">
        <v>30</v>
      </c>
      <c r="BF12" s="13" t="s">
        <v>235</v>
      </c>
      <c r="BG12" s="13" t="s">
        <v>30</v>
      </c>
      <c r="BH12" s="13" t="s">
        <v>235</v>
      </c>
      <c r="BI12" s="13" t="s">
        <v>30</v>
      </c>
      <c r="BJ12" s="13" t="s">
        <v>235</v>
      </c>
      <c r="BK12" s="13" t="s">
        <v>30</v>
      </c>
      <c r="BL12" s="13" t="s">
        <v>235</v>
      </c>
      <c r="BM12" s="13" t="s">
        <v>30</v>
      </c>
      <c r="BN12" s="13" t="s">
        <v>235</v>
      </c>
      <c r="BO12" s="13" t="s">
        <v>30</v>
      </c>
      <c r="BP12" s="13" t="s">
        <v>235</v>
      </c>
      <c r="BQ12" s="13" t="s">
        <v>30</v>
      </c>
      <c r="BR12" s="13" t="s">
        <v>235</v>
      </c>
      <c r="BS12" s="13" t="s">
        <v>30</v>
      </c>
      <c r="BT12" s="13" t="s">
        <v>235</v>
      </c>
      <c r="BU12" s="13" t="s">
        <v>30</v>
      </c>
      <c r="BV12" s="13" t="s">
        <v>235</v>
      </c>
      <c r="BW12" s="13" t="s">
        <v>30</v>
      </c>
      <c r="BX12" s="13" t="s">
        <v>235</v>
      </c>
      <c r="BY12" s="13" t="s">
        <v>30</v>
      </c>
      <c r="BZ12" s="13" t="s">
        <v>235</v>
      </c>
      <c r="CA12" s="13" t="s">
        <v>30</v>
      </c>
      <c r="CB12" s="13" t="s">
        <v>235</v>
      </c>
      <c r="CC12" s="13" t="s">
        <v>30</v>
      </c>
      <c r="CD12" s="13" t="s">
        <v>235</v>
      </c>
      <c r="CE12" s="13" t="s">
        <v>30</v>
      </c>
      <c r="CF12" s="13" t="s">
        <v>235</v>
      </c>
      <c r="CG12" s="13" t="s">
        <v>30</v>
      </c>
      <c r="CH12" s="13" t="s">
        <v>235</v>
      </c>
      <c r="CI12" s="13" t="s">
        <v>30</v>
      </c>
      <c r="CJ12" s="13" t="s">
        <v>235</v>
      </c>
      <c r="CK12" s="13" t="s">
        <v>30</v>
      </c>
      <c r="CL12" s="13" t="s">
        <v>235</v>
      </c>
      <c r="CM12" s="13" t="s">
        <v>30</v>
      </c>
      <c r="CN12" s="13" t="s">
        <v>235</v>
      </c>
      <c r="CO12" s="13" t="s">
        <v>30</v>
      </c>
      <c r="CP12" s="13" t="s">
        <v>235</v>
      </c>
      <c r="CQ12" s="13" t="s">
        <v>30</v>
      </c>
      <c r="CR12" s="13" t="s">
        <v>235</v>
      </c>
      <c r="CS12" s="13" t="s">
        <v>30</v>
      </c>
      <c r="CT12" s="13" t="s">
        <v>235</v>
      </c>
      <c r="CU12" s="13" t="s">
        <v>30</v>
      </c>
      <c r="CV12" s="13" t="s">
        <v>235</v>
      </c>
      <c r="CW12" s="13" t="s">
        <v>30</v>
      </c>
      <c r="CX12" s="13" t="s">
        <v>235</v>
      </c>
      <c r="CY12" s="13" t="s">
        <v>30</v>
      </c>
      <c r="CZ12" s="13" t="s">
        <v>235</v>
      </c>
      <c r="DA12" s="13" t="s">
        <v>30</v>
      </c>
      <c r="DB12" s="13" t="s">
        <v>235</v>
      </c>
      <c r="DC12" s="13" t="s">
        <v>30</v>
      </c>
      <c r="DD12" s="13" t="s">
        <v>235</v>
      </c>
      <c r="DE12" s="13" t="s">
        <v>30</v>
      </c>
      <c r="DF12" s="13" t="s">
        <v>235</v>
      </c>
      <c r="DG12" s="13" t="s">
        <v>30</v>
      </c>
      <c r="DH12" s="13" t="s">
        <v>235</v>
      </c>
      <c r="DI12" s="13" t="s">
        <v>30</v>
      </c>
      <c r="DJ12" s="13" t="s">
        <v>235</v>
      </c>
      <c r="DK12" s="13" t="s">
        <v>30</v>
      </c>
      <c r="DL12" s="13" t="s">
        <v>235</v>
      </c>
      <c r="DM12" s="13" t="s">
        <v>30</v>
      </c>
      <c r="DN12" s="13" t="s">
        <v>235</v>
      </c>
      <c r="DO12" s="13" t="s">
        <v>30</v>
      </c>
      <c r="DP12" s="13" t="s">
        <v>235</v>
      </c>
      <c r="DQ12" s="13" t="s">
        <v>30</v>
      </c>
      <c r="DR12" s="13" t="s">
        <v>235</v>
      </c>
      <c r="DS12" s="13" t="s">
        <v>30</v>
      </c>
      <c r="DT12" s="13" t="s">
        <v>235</v>
      </c>
      <c r="DU12" s="13" t="s">
        <v>30</v>
      </c>
      <c r="DV12" s="13" t="s">
        <v>235</v>
      </c>
      <c r="DW12" s="13" t="s">
        <v>30</v>
      </c>
      <c r="DX12" s="13" t="s">
        <v>235</v>
      </c>
      <c r="DY12" s="13" t="s">
        <v>30</v>
      </c>
      <c r="DZ12" s="13" t="s">
        <v>235</v>
      </c>
      <c r="EA12" s="13" t="s">
        <v>30</v>
      </c>
      <c r="EB12" s="13" t="s">
        <v>235</v>
      </c>
      <c r="EC12" s="13" t="s">
        <v>30</v>
      </c>
      <c r="ED12" s="13" t="s">
        <v>235</v>
      </c>
      <c r="EE12" s="13" t="s">
        <v>30</v>
      </c>
      <c r="EF12" s="13" t="s">
        <v>235</v>
      </c>
      <c r="EG12" s="13" t="s">
        <v>30</v>
      </c>
      <c r="EH12" s="13" t="s">
        <v>235</v>
      </c>
      <c r="EI12" s="13" t="s">
        <v>30</v>
      </c>
      <c r="EJ12" s="13" t="s">
        <v>235</v>
      </c>
      <c r="EK12" s="13" t="s">
        <v>30</v>
      </c>
      <c r="EL12" s="13" t="s">
        <v>235</v>
      </c>
      <c r="EM12" s="13" t="s">
        <v>30</v>
      </c>
      <c r="EN12" s="13" t="s">
        <v>235</v>
      </c>
      <c r="EO12" s="13" t="s">
        <v>30</v>
      </c>
      <c r="EP12" s="13" t="s">
        <v>235</v>
      </c>
      <c r="EQ12" s="13" t="s">
        <v>30</v>
      </c>
      <c r="ER12" s="13" t="s">
        <v>235</v>
      </c>
      <c r="ES12" s="13" t="s">
        <v>30</v>
      </c>
      <c r="ET12" s="13" t="s">
        <v>235</v>
      </c>
      <c r="EU12" s="13" t="s">
        <v>30</v>
      </c>
      <c r="EV12" s="13" t="s">
        <v>235</v>
      </c>
      <c r="EW12" s="13" t="s">
        <v>30</v>
      </c>
      <c r="EX12" s="13" t="s">
        <v>235</v>
      </c>
      <c r="EY12" s="13" t="s">
        <v>30</v>
      </c>
      <c r="EZ12" s="13" t="s">
        <v>235</v>
      </c>
      <c r="FA12" s="13" t="s">
        <v>30</v>
      </c>
      <c r="FB12" s="13" t="s">
        <v>235</v>
      </c>
      <c r="FC12" s="13" t="s">
        <v>30</v>
      </c>
      <c r="FD12" s="13" t="s">
        <v>235</v>
      </c>
      <c r="FE12" s="13" t="s">
        <v>30</v>
      </c>
      <c r="FF12" s="14">
        <v>68971.199999999997</v>
      </c>
      <c r="FG12" s="13" t="s">
        <v>30</v>
      </c>
      <c r="FH12" s="14">
        <v>71483.100000000006</v>
      </c>
      <c r="FI12" s="13" t="s">
        <v>30</v>
      </c>
      <c r="FJ12" s="14">
        <v>69051.600000000006</v>
      </c>
      <c r="FK12" s="13" t="s">
        <v>30</v>
      </c>
      <c r="FL12" s="14">
        <v>73071.7</v>
      </c>
      <c r="FM12" s="13" t="s">
        <v>30</v>
      </c>
      <c r="FN12" s="14">
        <v>69675.5</v>
      </c>
      <c r="FO12" s="13" t="s">
        <v>30</v>
      </c>
      <c r="FP12" s="15">
        <v>72153</v>
      </c>
      <c r="FQ12" s="13" t="s">
        <v>30</v>
      </c>
      <c r="FR12" s="14">
        <v>69560.600000000006</v>
      </c>
      <c r="FS12" s="13" t="s">
        <v>30</v>
      </c>
      <c r="FT12" s="14">
        <v>73777.8</v>
      </c>
      <c r="FU12" s="13" t="s">
        <v>30</v>
      </c>
      <c r="FV12" s="14">
        <v>71823.100000000006</v>
      </c>
      <c r="FW12" s="13" t="s">
        <v>30</v>
      </c>
      <c r="FX12" s="14">
        <v>74803.5</v>
      </c>
      <c r="FY12" s="13" t="s">
        <v>30</v>
      </c>
      <c r="FZ12" s="14">
        <v>72389.600000000006</v>
      </c>
      <c r="GA12" s="13" t="s">
        <v>30</v>
      </c>
      <c r="GB12" s="14">
        <v>76550.600000000006</v>
      </c>
      <c r="GC12" s="13" t="s">
        <v>30</v>
      </c>
      <c r="GD12" s="14">
        <v>74121.5</v>
      </c>
      <c r="GE12" s="13" t="s">
        <v>30</v>
      </c>
      <c r="GF12" s="14">
        <v>76163.399999999994</v>
      </c>
      <c r="GG12" s="13" t="s">
        <v>30</v>
      </c>
      <c r="GH12" s="14">
        <v>73432.5</v>
      </c>
      <c r="GI12" s="13" t="s">
        <v>30</v>
      </c>
      <c r="GJ12" s="14">
        <v>77368.899999999994</v>
      </c>
      <c r="GK12" s="13" t="s">
        <v>30</v>
      </c>
      <c r="GL12" s="14">
        <v>75341.3</v>
      </c>
      <c r="GM12" s="13" t="s">
        <v>30</v>
      </c>
      <c r="GN12" s="14">
        <v>78225.2</v>
      </c>
      <c r="GO12" s="13" t="s">
        <v>30</v>
      </c>
      <c r="GP12" s="14">
        <v>76265.3</v>
      </c>
      <c r="GQ12" s="13" t="s">
        <v>30</v>
      </c>
      <c r="GR12" s="14">
        <v>81270.399999999994</v>
      </c>
      <c r="GS12" s="13" t="s">
        <v>30</v>
      </c>
      <c r="GT12" s="14">
        <v>78583.199999999997</v>
      </c>
      <c r="GU12" s="13" t="s">
        <v>30</v>
      </c>
      <c r="GV12" s="14">
        <v>81311.600000000006</v>
      </c>
      <c r="GW12" s="13" t="s">
        <v>30</v>
      </c>
      <c r="GX12" s="14">
        <v>78513.899999999994</v>
      </c>
      <c r="GY12" s="13" t="s">
        <v>30</v>
      </c>
      <c r="GZ12" s="15">
        <v>83850</v>
      </c>
      <c r="HA12" s="13" t="s">
        <v>30</v>
      </c>
      <c r="HB12" s="14">
        <v>80449.3</v>
      </c>
      <c r="HC12" s="13" t="s">
        <v>30</v>
      </c>
      <c r="HD12" s="14">
        <v>82918.2</v>
      </c>
      <c r="HE12" s="13" t="s">
        <v>30</v>
      </c>
      <c r="HF12" s="14">
        <v>79565.100000000006</v>
      </c>
      <c r="HG12" s="13" t="s">
        <v>30</v>
      </c>
      <c r="HH12" s="14">
        <v>84225.3</v>
      </c>
      <c r="HI12" s="13" t="s">
        <v>30</v>
      </c>
      <c r="HJ12" s="15">
        <v>80916</v>
      </c>
      <c r="HK12" s="13" t="s">
        <v>30</v>
      </c>
      <c r="HL12" s="14">
        <v>84191.3</v>
      </c>
      <c r="HM12" s="13" t="s">
        <v>30</v>
      </c>
      <c r="HN12" s="14">
        <v>81065.2</v>
      </c>
      <c r="HO12" s="13" t="s">
        <v>30</v>
      </c>
      <c r="HP12" s="14">
        <v>86327.8</v>
      </c>
      <c r="HQ12" s="13" t="s">
        <v>30</v>
      </c>
      <c r="HR12" s="14">
        <v>82129.399999999994</v>
      </c>
      <c r="HS12" s="13" t="s">
        <v>30</v>
      </c>
      <c r="HT12" s="14">
        <v>84845.9</v>
      </c>
      <c r="HU12" s="13" t="s">
        <v>30</v>
      </c>
      <c r="HV12" s="15">
        <v>81836</v>
      </c>
      <c r="HW12" s="13" t="s">
        <v>30</v>
      </c>
      <c r="HX12" s="14">
        <v>87393.3</v>
      </c>
      <c r="HY12" s="13" t="s">
        <v>30</v>
      </c>
      <c r="HZ12" s="14">
        <v>84258.4</v>
      </c>
      <c r="IA12" s="13" t="s">
        <v>30</v>
      </c>
      <c r="IB12" s="14">
        <v>87641.1</v>
      </c>
      <c r="IC12" s="13" t="s">
        <v>30</v>
      </c>
      <c r="ID12" s="14">
        <v>84625.1</v>
      </c>
      <c r="IE12" s="13" t="s">
        <v>30</v>
      </c>
      <c r="IF12" s="15">
        <v>90344</v>
      </c>
      <c r="IG12" s="13" t="s">
        <v>30</v>
      </c>
      <c r="IH12" s="14">
        <v>86414.9</v>
      </c>
      <c r="II12" s="13" t="s">
        <v>30</v>
      </c>
      <c r="IJ12" s="14">
        <v>89912.8</v>
      </c>
      <c r="IK12" s="13" t="s">
        <v>30</v>
      </c>
      <c r="IL12" s="14">
        <v>86491.5</v>
      </c>
      <c r="IM12" s="13" t="s">
        <v>30</v>
      </c>
      <c r="IN12" s="14">
        <v>92533.7</v>
      </c>
      <c r="IO12" s="13" t="s">
        <v>30</v>
      </c>
      <c r="IP12" s="14">
        <v>88623.4</v>
      </c>
      <c r="IQ12" s="13" t="s">
        <v>30</v>
      </c>
      <c r="IR12" s="14">
        <v>91831.4</v>
      </c>
      <c r="IS12" s="13" t="s">
        <v>30</v>
      </c>
      <c r="IT12" s="15">
        <v>88517</v>
      </c>
      <c r="IU12" s="13" t="s">
        <v>30</v>
      </c>
      <c r="IV12" s="15">
        <v>95088</v>
      </c>
      <c r="IW12" s="13" t="s">
        <v>30</v>
      </c>
      <c r="IX12" s="14">
        <v>91865.2</v>
      </c>
      <c r="IY12" s="13" t="s">
        <v>30</v>
      </c>
      <c r="IZ12" s="14">
        <v>95385.5</v>
      </c>
      <c r="JA12" s="13" t="s">
        <v>30</v>
      </c>
      <c r="JB12" s="14">
        <v>92041.600000000006</v>
      </c>
      <c r="JC12" s="13" t="s">
        <v>30</v>
      </c>
      <c r="JD12" s="14">
        <v>98344.1</v>
      </c>
      <c r="JE12" s="13" t="s">
        <v>30</v>
      </c>
      <c r="JF12" s="14">
        <v>93920.7</v>
      </c>
      <c r="JG12" s="13" t="s">
        <v>30</v>
      </c>
      <c r="JH12" s="14">
        <v>97402.4</v>
      </c>
      <c r="JI12" s="13" t="s">
        <v>30</v>
      </c>
      <c r="JJ12" s="14">
        <v>92681.2</v>
      </c>
      <c r="JK12" s="13" t="s">
        <v>30</v>
      </c>
      <c r="JL12" s="14">
        <v>96607.9</v>
      </c>
      <c r="JM12" s="13" t="s">
        <v>30</v>
      </c>
      <c r="JN12" s="14">
        <v>89876.9</v>
      </c>
      <c r="JO12" s="13" t="s">
        <v>236</v>
      </c>
      <c r="JP12" s="14">
        <v>93818.6</v>
      </c>
      <c r="JQ12" s="13" t="s">
        <v>30</v>
      </c>
      <c r="JR12" s="14">
        <v>89817.5</v>
      </c>
      <c r="JS12" s="13" t="s">
        <v>30</v>
      </c>
      <c r="JT12" s="14">
        <v>100074.4</v>
      </c>
      <c r="JU12" s="13" t="s">
        <v>30</v>
      </c>
      <c r="JV12" s="14">
        <v>92244.6</v>
      </c>
      <c r="JW12" s="13" t="s">
        <v>30</v>
      </c>
      <c r="JX12" s="14">
        <v>96961.600000000006</v>
      </c>
      <c r="JY12" s="13" t="s">
        <v>30</v>
      </c>
      <c r="JZ12" s="14">
        <v>92082.6</v>
      </c>
      <c r="KA12" s="13" t="s">
        <v>30</v>
      </c>
      <c r="KB12" s="14">
        <v>102503.5</v>
      </c>
      <c r="KC12" s="13" t="s">
        <v>30</v>
      </c>
      <c r="KD12" s="14">
        <v>94877.4</v>
      </c>
      <c r="KE12" s="13" t="s">
        <v>30</v>
      </c>
      <c r="KF12" s="14">
        <v>99321.7</v>
      </c>
      <c r="KG12" s="13" t="s">
        <v>30</v>
      </c>
      <c r="KH12" s="14">
        <v>94120.4</v>
      </c>
      <c r="KI12" s="13" t="s">
        <v>30</v>
      </c>
      <c r="KJ12" s="14">
        <v>104123.4</v>
      </c>
      <c r="KK12" s="13" t="s">
        <v>30</v>
      </c>
      <c r="KL12" s="14">
        <v>95469.5</v>
      </c>
      <c r="KM12" s="13" t="s">
        <v>30</v>
      </c>
      <c r="KN12" s="14">
        <v>99571.9</v>
      </c>
      <c r="KO12" s="13" t="s">
        <v>30</v>
      </c>
      <c r="KP12" s="14">
        <v>94287.1</v>
      </c>
      <c r="KQ12" s="13" t="s">
        <v>30</v>
      </c>
      <c r="KR12" s="14">
        <v>103911.6</v>
      </c>
      <c r="KS12" s="13" t="s">
        <v>30</v>
      </c>
      <c r="KT12" s="14">
        <v>94876.3</v>
      </c>
      <c r="KU12" s="13" t="s">
        <v>30</v>
      </c>
      <c r="KV12" s="14">
        <v>99927.4</v>
      </c>
      <c r="KW12" s="13" t="s">
        <v>30</v>
      </c>
      <c r="KX12" s="14">
        <v>94603.8</v>
      </c>
      <c r="KY12" s="13" t="s">
        <v>30</v>
      </c>
      <c r="KZ12" s="14">
        <v>104744.4</v>
      </c>
      <c r="LA12" s="13" t="s">
        <v>30</v>
      </c>
      <c r="LB12" s="14">
        <v>96863.6</v>
      </c>
      <c r="LC12" s="13" t="s">
        <v>30</v>
      </c>
      <c r="LD12" s="14">
        <v>101691.8</v>
      </c>
      <c r="LE12" s="13" t="s">
        <v>30</v>
      </c>
      <c r="LF12" s="14">
        <v>96425.3</v>
      </c>
      <c r="LG12" s="13" t="s">
        <v>30</v>
      </c>
      <c r="LH12" s="15">
        <v>106613</v>
      </c>
      <c r="LI12" s="13" t="s">
        <v>30</v>
      </c>
      <c r="LJ12" s="14">
        <v>98761.8</v>
      </c>
      <c r="LK12" s="13" t="s">
        <v>30</v>
      </c>
      <c r="LL12" s="14">
        <v>103783.4</v>
      </c>
      <c r="LM12" s="13" t="s">
        <v>30</v>
      </c>
      <c r="LN12" s="14">
        <v>97650.8</v>
      </c>
      <c r="LO12" s="13" t="s">
        <v>30</v>
      </c>
      <c r="LP12" s="14">
        <v>107604.3</v>
      </c>
      <c r="LQ12" s="13" t="s">
        <v>30</v>
      </c>
      <c r="LR12" s="14">
        <v>99695.7</v>
      </c>
      <c r="LS12" s="13" t="s">
        <v>30</v>
      </c>
      <c r="LT12" s="14">
        <v>104695.2</v>
      </c>
      <c r="LU12" s="13" t="s">
        <v>30</v>
      </c>
      <c r="LV12" s="14">
        <v>98372.7</v>
      </c>
      <c r="LW12" s="13" t="s">
        <v>30</v>
      </c>
      <c r="LX12" s="14">
        <v>108580.7</v>
      </c>
      <c r="LY12" s="13" t="s">
        <v>30</v>
      </c>
      <c r="LZ12" s="14">
        <v>101375.8</v>
      </c>
      <c r="MA12" s="13" t="s">
        <v>30</v>
      </c>
      <c r="MB12" s="14">
        <v>106065.9</v>
      </c>
      <c r="MC12" s="13" t="s">
        <v>30</v>
      </c>
      <c r="MD12" s="14">
        <v>99324.800000000003</v>
      </c>
      <c r="ME12" s="13" t="s">
        <v>30</v>
      </c>
      <c r="MF12" s="14">
        <v>110446.7</v>
      </c>
      <c r="MG12" s="13" t="s">
        <v>30</v>
      </c>
      <c r="MH12" s="14">
        <v>102858.8</v>
      </c>
      <c r="MI12" s="13" t="s">
        <v>30</v>
      </c>
      <c r="MJ12" s="14">
        <v>107964.1</v>
      </c>
      <c r="MK12" s="13" t="s">
        <v>30</v>
      </c>
      <c r="ML12" s="14">
        <v>101457.1</v>
      </c>
      <c r="MM12" s="13" t="s">
        <v>30</v>
      </c>
      <c r="MN12" s="14">
        <v>112951.9</v>
      </c>
      <c r="MO12" s="13" t="s">
        <v>30</v>
      </c>
      <c r="MP12" s="14">
        <v>105452.9</v>
      </c>
      <c r="MQ12" s="13" t="s">
        <v>30</v>
      </c>
      <c r="MR12" s="14">
        <v>110792.9</v>
      </c>
      <c r="MS12" s="13" t="s">
        <v>30</v>
      </c>
      <c r="MT12" s="14">
        <v>104472.7</v>
      </c>
      <c r="MU12" s="13" t="s">
        <v>30</v>
      </c>
      <c r="MV12" s="14">
        <v>115618.5</v>
      </c>
      <c r="MW12" s="13" t="s">
        <v>30</v>
      </c>
      <c r="MX12" s="15">
        <v>105521</v>
      </c>
      <c r="MY12" s="13" t="s">
        <v>30</v>
      </c>
      <c r="MZ12" s="14">
        <v>98401.4</v>
      </c>
      <c r="NA12" s="13" t="s">
        <v>30</v>
      </c>
      <c r="NB12" s="14">
        <v>101712.8</v>
      </c>
      <c r="NC12" s="13" t="s">
        <v>30</v>
      </c>
      <c r="ND12" s="14">
        <v>112359.7</v>
      </c>
      <c r="NE12" s="13" t="s">
        <v>30</v>
      </c>
      <c r="NF12" s="14">
        <v>105829.2</v>
      </c>
      <c r="NG12" s="13" t="s">
        <v>30</v>
      </c>
      <c r="NH12" s="14">
        <v>111783.4</v>
      </c>
      <c r="NI12" s="13" t="s">
        <v>30</v>
      </c>
      <c r="NJ12" s="14">
        <v>105732.1</v>
      </c>
      <c r="NK12" s="13" t="s">
        <v>30</v>
      </c>
      <c r="NL12" s="14">
        <v>118448.5</v>
      </c>
      <c r="NM12" s="13" t="s">
        <v>30</v>
      </c>
      <c r="NN12" s="14">
        <v>110843.3</v>
      </c>
      <c r="NO12" s="13" t="s">
        <v>30</v>
      </c>
      <c r="NP12" s="14">
        <v>117350.8</v>
      </c>
      <c r="NQ12" s="13" t="s">
        <v>30</v>
      </c>
      <c r="NR12" s="15">
        <v>110150</v>
      </c>
      <c r="NS12" s="13" t="s">
        <v>30</v>
      </c>
      <c r="NT12" s="15">
        <v>122338</v>
      </c>
      <c r="NU12" s="13" t="s">
        <v>30</v>
      </c>
      <c r="NV12" s="14">
        <v>114004.1</v>
      </c>
      <c r="NW12" s="13" t="s">
        <v>30</v>
      </c>
      <c r="NX12" s="14">
        <v>119521.8</v>
      </c>
      <c r="NY12" s="13" t="s">
        <v>30</v>
      </c>
      <c r="NZ12" s="14">
        <v>111748.3</v>
      </c>
      <c r="OA12" s="13" t="s">
        <v>30</v>
      </c>
      <c r="OB12" s="14">
        <v>123634.4</v>
      </c>
      <c r="OC12" s="13" t="s">
        <v>30</v>
      </c>
      <c r="OD12" s="14">
        <v>115399.9</v>
      </c>
      <c r="OE12" s="13" t="s">
        <v>237</v>
      </c>
      <c r="OF12" s="14">
        <v>120712.1</v>
      </c>
      <c r="OG12" s="13" t="s">
        <v>237</v>
      </c>
      <c r="OH12" s="14">
        <v>112759.2</v>
      </c>
      <c r="OI12" s="13" t="s">
        <v>237</v>
      </c>
      <c r="OJ12" s="14">
        <v>124547.1</v>
      </c>
      <c r="OK12" s="13" t="s">
        <v>237</v>
      </c>
      <c r="OL12" s="14">
        <v>116249.5</v>
      </c>
      <c r="OM12" s="13" t="s">
        <v>237</v>
      </c>
      <c r="ON12" s="14">
        <v>121829.1</v>
      </c>
      <c r="OO12" s="13" t="s">
        <v>237</v>
      </c>
      <c r="OP12" s="13" t="s">
        <v>235</v>
      </c>
      <c r="OQ12" s="13" t="s">
        <v>30</v>
      </c>
    </row>
    <row r="13" spans="1:407" x14ac:dyDescent="0.3">
      <c r="A13" s="12" t="s">
        <v>238</v>
      </c>
      <c r="B13" s="16" t="s">
        <v>235</v>
      </c>
      <c r="C13" s="16" t="s">
        <v>30</v>
      </c>
      <c r="D13" s="16" t="s">
        <v>235</v>
      </c>
      <c r="E13" s="16" t="s">
        <v>30</v>
      </c>
      <c r="F13" s="16" t="s">
        <v>235</v>
      </c>
      <c r="G13" s="16" t="s">
        <v>30</v>
      </c>
      <c r="H13" s="16" t="s">
        <v>235</v>
      </c>
      <c r="I13" s="16" t="s">
        <v>30</v>
      </c>
      <c r="J13" s="16" t="s">
        <v>235</v>
      </c>
      <c r="K13" s="16" t="s">
        <v>30</v>
      </c>
      <c r="L13" s="16" t="s">
        <v>235</v>
      </c>
      <c r="M13" s="16" t="s">
        <v>30</v>
      </c>
      <c r="N13" s="16" t="s">
        <v>235</v>
      </c>
      <c r="O13" s="16" t="s">
        <v>30</v>
      </c>
      <c r="P13" s="16" t="s">
        <v>235</v>
      </c>
      <c r="Q13" s="16" t="s">
        <v>30</v>
      </c>
      <c r="R13" s="16" t="s">
        <v>235</v>
      </c>
      <c r="S13" s="16" t="s">
        <v>30</v>
      </c>
      <c r="T13" s="16" t="s">
        <v>235</v>
      </c>
      <c r="U13" s="16" t="s">
        <v>30</v>
      </c>
      <c r="V13" s="16" t="s">
        <v>235</v>
      </c>
      <c r="W13" s="16" t="s">
        <v>30</v>
      </c>
      <c r="X13" s="16" t="s">
        <v>235</v>
      </c>
      <c r="Y13" s="16" t="s">
        <v>30</v>
      </c>
      <c r="Z13" s="16" t="s">
        <v>235</v>
      </c>
      <c r="AA13" s="16" t="s">
        <v>30</v>
      </c>
      <c r="AB13" s="16" t="s">
        <v>235</v>
      </c>
      <c r="AC13" s="16" t="s">
        <v>30</v>
      </c>
      <c r="AD13" s="16" t="s">
        <v>235</v>
      </c>
      <c r="AE13" s="16" t="s">
        <v>30</v>
      </c>
      <c r="AF13" s="16" t="s">
        <v>235</v>
      </c>
      <c r="AG13" s="16" t="s">
        <v>30</v>
      </c>
      <c r="AH13" s="16" t="s">
        <v>235</v>
      </c>
      <c r="AI13" s="16" t="s">
        <v>30</v>
      </c>
      <c r="AJ13" s="16" t="s">
        <v>235</v>
      </c>
      <c r="AK13" s="16" t="s">
        <v>30</v>
      </c>
      <c r="AL13" s="16" t="s">
        <v>235</v>
      </c>
      <c r="AM13" s="16" t="s">
        <v>30</v>
      </c>
      <c r="AN13" s="16" t="s">
        <v>235</v>
      </c>
      <c r="AO13" s="16" t="s">
        <v>30</v>
      </c>
      <c r="AP13" s="16" t="s">
        <v>235</v>
      </c>
      <c r="AQ13" s="16" t="s">
        <v>30</v>
      </c>
      <c r="AR13" s="16" t="s">
        <v>235</v>
      </c>
      <c r="AS13" s="16" t="s">
        <v>30</v>
      </c>
      <c r="AT13" s="16" t="s">
        <v>235</v>
      </c>
      <c r="AU13" s="16" t="s">
        <v>30</v>
      </c>
      <c r="AV13" s="16" t="s">
        <v>235</v>
      </c>
      <c r="AW13" s="16" t="s">
        <v>30</v>
      </c>
      <c r="AX13" s="16" t="s">
        <v>235</v>
      </c>
      <c r="AY13" s="16" t="s">
        <v>30</v>
      </c>
      <c r="AZ13" s="16" t="s">
        <v>235</v>
      </c>
      <c r="BA13" s="16" t="s">
        <v>30</v>
      </c>
      <c r="BB13" s="16" t="s">
        <v>235</v>
      </c>
      <c r="BC13" s="16" t="s">
        <v>30</v>
      </c>
      <c r="BD13" s="16" t="s">
        <v>235</v>
      </c>
      <c r="BE13" s="16" t="s">
        <v>30</v>
      </c>
      <c r="BF13" s="16" t="s">
        <v>235</v>
      </c>
      <c r="BG13" s="16" t="s">
        <v>30</v>
      </c>
      <c r="BH13" s="16" t="s">
        <v>235</v>
      </c>
      <c r="BI13" s="16" t="s">
        <v>30</v>
      </c>
      <c r="BJ13" s="16" t="s">
        <v>235</v>
      </c>
      <c r="BK13" s="16" t="s">
        <v>30</v>
      </c>
      <c r="BL13" s="16" t="s">
        <v>235</v>
      </c>
      <c r="BM13" s="16" t="s">
        <v>30</v>
      </c>
      <c r="BN13" s="16" t="s">
        <v>235</v>
      </c>
      <c r="BO13" s="16" t="s">
        <v>30</v>
      </c>
      <c r="BP13" s="16" t="s">
        <v>235</v>
      </c>
      <c r="BQ13" s="16" t="s">
        <v>30</v>
      </c>
      <c r="BR13" s="16" t="s">
        <v>235</v>
      </c>
      <c r="BS13" s="16" t="s">
        <v>30</v>
      </c>
      <c r="BT13" s="16" t="s">
        <v>235</v>
      </c>
      <c r="BU13" s="16" t="s">
        <v>30</v>
      </c>
      <c r="BV13" s="16" t="s">
        <v>235</v>
      </c>
      <c r="BW13" s="16" t="s">
        <v>30</v>
      </c>
      <c r="BX13" s="16" t="s">
        <v>235</v>
      </c>
      <c r="BY13" s="16" t="s">
        <v>30</v>
      </c>
      <c r="BZ13" s="16" t="s">
        <v>235</v>
      </c>
      <c r="CA13" s="16" t="s">
        <v>30</v>
      </c>
      <c r="CB13" s="16" t="s">
        <v>235</v>
      </c>
      <c r="CC13" s="16" t="s">
        <v>30</v>
      </c>
      <c r="CD13" s="16" t="s">
        <v>235</v>
      </c>
      <c r="CE13" s="16" t="s">
        <v>30</v>
      </c>
      <c r="CF13" s="16" t="s">
        <v>235</v>
      </c>
      <c r="CG13" s="16" t="s">
        <v>30</v>
      </c>
      <c r="CH13" s="16" t="s">
        <v>235</v>
      </c>
      <c r="CI13" s="16" t="s">
        <v>30</v>
      </c>
      <c r="CJ13" s="16" t="s">
        <v>235</v>
      </c>
      <c r="CK13" s="16" t="s">
        <v>30</v>
      </c>
      <c r="CL13" s="16" t="s">
        <v>235</v>
      </c>
      <c r="CM13" s="16" t="s">
        <v>30</v>
      </c>
      <c r="CN13" s="16" t="s">
        <v>235</v>
      </c>
      <c r="CO13" s="16" t="s">
        <v>30</v>
      </c>
      <c r="CP13" s="16" t="s">
        <v>235</v>
      </c>
      <c r="CQ13" s="16" t="s">
        <v>30</v>
      </c>
      <c r="CR13" s="16" t="s">
        <v>235</v>
      </c>
      <c r="CS13" s="16" t="s">
        <v>30</v>
      </c>
      <c r="CT13" s="16" t="s">
        <v>235</v>
      </c>
      <c r="CU13" s="16" t="s">
        <v>30</v>
      </c>
      <c r="CV13" s="16" t="s">
        <v>235</v>
      </c>
      <c r="CW13" s="16" t="s">
        <v>30</v>
      </c>
      <c r="CX13" s="16" t="s">
        <v>235</v>
      </c>
      <c r="CY13" s="16" t="s">
        <v>30</v>
      </c>
      <c r="CZ13" s="16" t="s">
        <v>235</v>
      </c>
      <c r="DA13" s="16" t="s">
        <v>30</v>
      </c>
      <c r="DB13" s="16" t="s">
        <v>235</v>
      </c>
      <c r="DC13" s="16" t="s">
        <v>30</v>
      </c>
      <c r="DD13" s="16" t="s">
        <v>235</v>
      </c>
      <c r="DE13" s="16" t="s">
        <v>30</v>
      </c>
      <c r="DF13" s="16" t="s">
        <v>235</v>
      </c>
      <c r="DG13" s="16" t="s">
        <v>30</v>
      </c>
      <c r="DH13" s="16" t="s">
        <v>235</v>
      </c>
      <c r="DI13" s="16" t="s">
        <v>30</v>
      </c>
      <c r="DJ13" s="16" t="s">
        <v>235</v>
      </c>
      <c r="DK13" s="16" t="s">
        <v>30</v>
      </c>
      <c r="DL13" s="16" t="s">
        <v>235</v>
      </c>
      <c r="DM13" s="16" t="s">
        <v>30</v>
      </c>
      <c r="DN13" s="16" t="s">
        <v>235</v>
      </c>
      <c r="DO13" s="16" t="s">
        <v>30</v>
      </c>
      <c r="DP13" s="16" t="s">
        <v>235</v>
      </c>
      <c r="DQ13" s="16" t="s">
        <v>30</v>
      </c>
      <c r="DR13" s="16" t="s">
        <v>235</v>
      </c>
      <c r="DS13" s="16" t="s">
        <v>30</v>
      </c>
      <c r="DT13" s="16" t="s">
        <v>235</v>
      </c>
      <c r="DU13" s="16" t="s">
        <v>30</v>
      </c>
      <c r="DV13" s="16" t="s">
        <v>235</v>
      </c>
      <c r="DW13" s="16" t="s">
        <v>30</v>
      </c>
      <c r="DX13" s="16" t="s">
        <v>235</v>
      </c>
      <c r="DY13" s="16" t="s">
        <v>30</v>
      </c>
      <c r="DZ13" s="16" t="s">
        <v>235</v>
      </c>
      <c r="EA13" s="16" t="s">
        <v>30</v>
      </c>
      <c r="EB13" s="16" t="s">
        <v>235</v>
      </c>
      <c r="EC13" s="16" t="s">
        <v>30</v>
      </c>
      <c r="ED13" s="16" t="s">
        <v>235</v>
      </c>
      <c r="EE13" s="16" t="s">
        <v>30</v>
      </c>
      <c r="EF13" s="16" t="s">
        <v>235</v>
      </c>
      <c r="EG13" s="16" t="s">
        <v>30</v>
      </c>
      <c r="EH13" s="16" t="s">
        <v>235</v>
      </c>
      <c r="EI13" s="16" t="s">
        <v>30</v>
      </c>
      <c r="EJ13" s="16" t="s">
        <v>235</v>
      </c>
      <c r="EK13" s="16" t="s">
        <v>30</v>
      </c>
      <c r="EL13" s="16" t="s">
        <v>235</v>
      </c>
      <c r="EM13" s="16" t="s">
        <v>30</v>
      </c>
      <c r="EN13" s="16" t="s">
        <v>235</v>
      </c>
      <c r="EO13" s="16" t="s">
        <v>30</v>
      </c>
      <c r="EP13" s="16" t="s">
        <v>235</v>
      </c>
      <c r="EQ13" s="16" t="s">
        <v>30</v>
      </c>
      <c r="ER13" s="16" t="s">
        <v>235</v>
      </c>
      <c r="ES13" s="16" t="s">
        <v>30</v>
      </c>
      <c r="ET13" s="16" t="s">
        <v>235</v>
      </c>
      <c r="EU13" s="16" t="s">
        <v>30</v>
      </c>
      <c r="EV13" s="16" t="s">
        <v>235</v>
      </c>
      <c r="EW13" s="16" t="s">
        <v>30</v>
      </c>
      <c r="EX13" s="16" t="s">
        <v>235</v>
      </c>
      <c r="EY13" s="16" t="s">
        <v>30</v>
      </c>
      <c r="EZ13" s="16" t="s">
        <v>235</v>
      </c>
      <c r="FA13" s="16" t="s">
        <v>30</v>
      </c>
      <c r="FB13" s="16" t="s">
        <v>235</v>
      </c>
      <c r="FC13" s="16" t="s">
        <v>30</v>
      </c>
      <c r="FD13" s="16" t="s">
        <v>235</v>
      </c>
      <c r="FE13" s="16" t="s">
        <v>30</v>
      </c>
      <c r="FF13" s="16" t="s">
        <v>235</v>
      </c>
      <c r="FG13" s="16" t="s">
        <v>30</v>
      </c>
      <c r="FH13" s="16" t="s">
        <v>235</v>
      </c>
      <c r="FI13" s="16" t="s">
        <v>30</v>
      </c>
      <c r="FJ13" s="16" t="s">
        <v>235</v>
      </c>
      <c r="FK13" s="16" t="s">
        <v>30</v>
      </c>
      <c r="FL13" s="16" t="s">
        <v>235</v>
      </c>
      <c r="FM13" s="16" t="s">
        <v>30</v>
      </c>
      <c r="FN13" s="17">
        <v>15405.7</v>
      </c>
      <c r="FO13" s="16" t="s">
        <v>30</v>
      </c>
      <c r="FP13" s="17">
        <v>16425.8</v>
      </c>
      <c r="FQ13" s="16" t="s">
        <v>30</v>
      </c>
      <c r="FR13" s="17">
        <v>19538.400000000001</v>
      </c>
      <c r="FS13" s="16" t="s">
        <v>30</v>
      </c>
      <c r="FT13" s="17">
        <v>19038.7</v>
      </c>
      <c r="FU13" s="16" t="s">
        <v>30</v>
      </c>
      <c r="FV13" s="17">
        <v>13106.8</v>
      </c>
      <c r="FW13" s="16" t="s">
        <v>30</v>
      </c>
      <c r="FX13" s="17">
        <v>13692.2</v>
      </c>
      <c r="FY13" s="16" t="s">
        <v>30</v>
      </c>
      <c r="FZ13" s="17">
        <v>16881.7</v>
      </c>
      <c r="GA13" s="16" t="s">
        <v>30</v>
      </c>
      <c r="GB13" s="17">
        <v>16078.3</v>
      </c>
      <c r="GC13" s="16" t="s">
        <v>30</v>
      </c>
      <c r="GD13" s="17">
        <v>13798.2</v>
      </c>
      <c r="GE13" s="16" t="s">
        <v>30</v>
      </c>
      <c r="GF13" s="18">
        <v>13427</v>
      </c>
      <c r="GG13" s="16" t="s">
        <v>30</v>
      </c>
      <c r="GH13" s="17">
        <v>17281.8</v>
      </c>
      <c r="GI13" s="16" t="s">
        <v>30</v>
      </c>
      <c r="GJ13" s="17">
        <v>16367.4</v>
      </c>
      <c r="GK13" s="16" t="s">
        <v>30</v>
      </c>
      <c r="GL13" s="17">
        <v>12247.1</v>
      </c>
      <c r="GM13" s="16" t="s">
        <v>30</v>
      </c>
      <c r="GN13" s="17">
        <v>12321.5</v>
      </c>
      <c r="GO13" s="16" t="s">
        <v>30</v>
      </c>
      <c r="GP13" s="17">
        <v>15550.2</v>
      </c>
      <c r="GQ13" s="16" t="s">
        <v>30</v>
      </c>
      <c r="GR13" s="17">
        <v>15323.6</v>
      </c>
      <c r="GS13" s="16" t="s">
        <v>30</v>
      </c>
      <c r="GT13" s="17">
        <v>12280.2</v>
      </c>
      <c r="GU13" s="16" t="s">
        <v>30</v>
      </c>
      <c r="GV13" s="17">
        <v>13235.8</v>
      </c>
      <c r="GW13" s="16" t="s">
        <v>30</v>
      </c>
      <c r="GX13" s="17">
        <v>16008.8</v>
      </c>
      <c r="GY13" s="16" t="s">
        <v>30</v>
      </c>
      <c r="GZ13" s="17">
        <v>16106.9</v>
      </c>
      <c r="HA13" s="16" t="s">
        <v>30</v>
      </c>
      <c r="HB13" s="17">
        <v>12760.7</v>
      </c>
      <c r="HC13" s="16" t="s">
        <v>30</v>
      </c>
      <c r="HD13" s="18">
        <v>13694</v>
      </c>
      <c r="HE13" s="16" t="s">
        <v>30</v>
      </c>
      <c r="HF13" s="17">
        <v>16665.8</v>
      </c>
      <c r="HG13" s="16" t="s">
        <v>30</v>
      </c>
      <c r="HH13" s="17">
        <v>16858.2</v>
      </c>
      <c r="HI13" s="16" t="s">
        <v>30</v>
      </c>
      <c r="HJ13" s="17">
        <v>13574.6</v>
      </c>
      <c r="HK13" s="16" t="s">
        <v>30</v>
      </c>
      <c r="HL13" s="18">
        <v>14806</v>
      </c>
      <c r="HM13" s="16" t="s">
        <v>30</v>
      </c>
      <c r="HN13" s="17">
        <v>18123.8</v>
      </c>
      <c r="HO13" s="16" t="s">
        <v>30</v>
      </c>
      <c r="HP13" s="17">
        <v>18032.2</v>
      </c>
      <c r="HQ13" s="16" t="s">
        <v>30</v>
      </c>
      <c r="HR13" s="18">
        <v>14175</v>
      </c>
      <c r="HS13" s="16" t="s">
        <v>30</v>
      </c>
      <c r="HT13" s="17">
        <v>15414.6</v>
      </c>
      <c r="HU13" s="16" t="s">
        <v>30</v>
      </c>
      <c r="HV13" s="17">
        <v>18622.400000000001</v>
      </c>
      <c r="HW13" s="16" t="s">
        <v>30</v>
      </c>
      <c r="HX13" s="17">
        <v>19006.2</v>
      </c>
      <c r="HY13" s="16" t="s">
        <v>30</v>
      </c>
      <c r="HZ13" s="17">
        <v>14683.8</v>
      </c>
      <c r="IA13" s="16" t="s">
        <v>30</v>
      </c>
      <c r="IB13" s="17">
        <v>16173.5</v>
      </c>
      <c r="IC13" s="16" t="s">
        <v>30</v>
      </c>
      <c r="ID13" s="17">
        <v>19803.2</v>
      </c>
      <c r="IE13" s="16" t="s">
        <v>30</v>
      </c>
      <c r="IF13" s="17">
        <v>19836.2</v>
      </c>
      <c r="IG13" s="16" t="s">
        <v>30</v>
      </c>
      <c r="IH13" s="17">
        <v>15829.8</v>
      </c>
      <c r="II13" s="16" t="s">
        <v>30</v>
      </c>
      <c r="IJ13" s="17">
        <v>17398.599999999999</v>
      </c>
      <c r="IK13" s="16" t="s">
        <v>30</v>
      </c>
      <c r="IL13" s="17">
        <v>20708.099999999999</v>
      </c>
      <c r="IM13" s="16" t="s">
        <v>30</v>
      </c>
      <c r="IN13" s="18">
        <v>21111</v>
      </c>
      <c r="IO13" s="16" t="s">
        <v>30</v>
      </c>
      <c r="IP13" s="17">
        <v>16858.2</v>
      </c>
      <c r="IQ13" s="16" t="s">
        <v>30</v>
      </c>
      <c r="IR13" s="17">
        <v>18564.599999999999</v>
      </c>
      <c r="IS13" s="16" t="s">
        <v>30</v>
      </c>
      <c r="IT13" s="17">
        <v>22108.2</v>
      </c>
      <c r="IU13" s="16" t="s">
        <v>30</v>
      </c>
      <c r="IV13" s="18">
        <v>22878</v>
      </c>
      <c r="IW13" s="16" t="s">
        <v>30</v>
      </c>
      <c r="IX13" s="17">
        <v>18005.599999999999</v>
      </c>
      <c r="IY13" s="16" t="s">
        <v>30</v>
      </c>
      <c r="IZ13" s="17">
        <v>20263.900000000001</v>
      </c>
      <c r="JA13" s="16" t="s">
        <v>30</v>
      </c>
      <c r="JB13" s="17">
        <v>23039.8</v>
      </c>
      <c r="JC13" s="16" t="s">
        <v>30</v>
      </c>
      <c r="JD13" s="17">
        <v>24365.3</v>
      </c>
      <c r="JE13" s="16" t="s">
        <v>30</v>
      </c>
      <c r="JF13" s="17">
        <v>19477.900000000001</v>
      </c>
      <c r="JG13" s="16" t="s">
        <v>30</v>
      </c>
      <c r="JH13" s="17">
        <v>21641.5</v>
      </c>
      <c r="JI13" s="16" t="s">
        <v>30</v>
      </c>
      <c r="JJ13" s="17">
        <v>24814.2</v>
      </c>
      <c r="JK13" s="16" t="s">
        <v>30</v>
      </c>
      <c r="JL13" s="17">
        <v>25011.200000000001</v>
      </c>
      <c r="JM13" s="16" t="s">
        <v>30</v>
      </c>
      <c r="JN13" s="17">
        <v>19458.599999999999</v>
      </c>
      <c r="JO13" s="16" t="s">
        <v>30</v>
      </c>
      <c r="JP13" s="18">
        <v>21849</v>
      </c>
      <c r="JQ13" s="16" t="s">
        <v>30</v>
      </c>
      <c r="JR13" s="18">
        <v>24683</v>
      </c>
      <c r="JS13" s="16" t="s">
        <v>30</v>
      </c>
      <c r="JT13" s="17">
        <v>24173.3</v>
      </c>
      <c r="JU13" s="16" t="s">
        <v>30</v>
      </c>
      <c r="JV13" s="17">
        <v>19165.599999999999</v>
      </c>
      <c r="JW13" s="16" t="s">
        <v>30</v>
      </c>
      <c r="JX13" s="17">
        <v>22480.6</v>
      </c>
      <c r="JY13" s="16" t="s">
        <v>30</v>
      </c>
      <c r="JZ13" s="17">
        <v>24839.200000000001</v>
      </c>
      <c r="KA13" s="16" t="s">
        <v>30</v>
      </c>
      <c r="KB13" s="17">
        <v>25328.400000000001</v>
      </c>
      <c r="KC13" s="16" t="s">
        <v>30</v>
      </c>
      <c r="KD13" s="17">
        <v>19281.3</v>
      </c>
      <c r="KE13" s="16" t="s">
        <v>30</v>
      </c>
      <c r="KF13" s="17">
        <v>23574.9</v>
      </c>
      <c r="KG13" s="16" t="s">
        <v>30</v>
      </c>
      <c r="KH13" s="17">
        <v>25443.9</v>
      </c>
      <c r="KI13" s="16" t="s">
        <v>30</v>
      </c>
      <c r="KJ13" s="17">
        <v>25258.799999999999</v>
      </c>
      <c r="KK13" s="16" t="s">
        <v>30</v>
      </c>
      <c r="KL13" s="17">
        <v>19364.2</v>
      </c>
      <c r="KM13" s="16" t="s">
        <v>30</v>
      </c>
      <c r="KN13" s="17">
        <v>23352.9</v>
      </c>
      <c r="KO13" s="16" t="s">
        <v>30</v>
      </c>
      <c r="KP13" s="17">
        <v>25548.7</v>
      </c>
      <c r="KQ13" s="16" t="s">
        <v>30</v>
      </c>
      <c r="KR13" s="17">
        <v>25529.8</v>
      </c>
      <c r="KS13" s="16" t="s">
        <v>30</v>
      </c>
      <c r="KT13" s="17">
        <v>18747.900000000001</v>
      </c>
      <c r="KU13" s="16" t="s">
        <v>30</v>
      </c>
      <c r="KV13" s="17">
        <v>22618.1</v>
      </c>
      <c r="KW13" s="16" t="s">
        <v>30</v>
      </c>
      <c r="KX13" s="17">
        <v>25271.599999999999</v>
      </c>
      <c r="KY13" s="16" t="s">
        <v>30</v>
      </c>
      <c r="KZ13" s="17">
        <v>25612.3</v>
      </c>
      <c r="LA13" s="16" t="s">
        <v>30</v>
      </c>
      <c r="LB13" s="17">
        <v>18757.3</v>
      </c>
      <c r="LC13" s="16" t="s">
        <v>30</v>
      </c>
      <c r="LD13" s="17">
        <v>22776.2</v>
      </c>
      <c r="LE13" s="16" t="s">
        <v>30</v>
      </c>
      <c r="LF13" s="17">
        <v>25288.5</v>
      </c>
      <c r="LG13" s="16" t="s">
        <v>30</v>
      </c>
      <c r="LH13" s="17">
        <v>26314.799999999999</v>
      </c>
      <c r="LI13" s="16" t="s">
        <v>30</v>
      </c>
      <c r="LJ13" s="17">
        <v>19394.099999999999</v>
      </c>
      <c r="LK13" s="16" t="s">
        <v>30</v>
      </c>
      <c r="LL13" s="17">
        <v>23435.200000000001</v>
      </c>
      <c r="LM13" s="16" t="s">
        <v>30</v>
      </c>
      <c r="LN13" s="17">
        <v>26377.7</v>
      </c>
      <c r="LO13" s="16" t="s">
        <v>30</v>
      </c>
      <c r="LP13" s="17">
        <v>26670.9</v>
      </c>
      <c r="LQ13" s="16" t="s">
        <v>30</v>
      </c>
      <c r="LR13" s="17">
        <v>19925.5</v>
      </c>
      <c r="LS13" s="16" t="s">
        <v>30</v>
      </c>
      <c r="LT13" s="17">
        <v>24004.1</v>
      </c>
      <c r="LU13" s="16" t="s">
        <v>30</v>
      </c>
      <c r="LV13" s="17">
        <v>26933.9</v>
      </c>
      <c r="LW13" s="16" t="s">
        <v>30</v>
      </c>
      <c r="LX13" s="17">
        <v>27485.1</v>
      </c>
      <c r="LY13" s="16" t="s">
        <v>30</v>
      </c>
      <c r="LZ13" s="17">
        <v>20794.7</v>
      </c>
      <c r="MA13" s="16" t="s">
        <v>30</v>
      </c>
      <c r="MB13" s="18">
        <v>24793</v>
      </c>
      <c r="MC13" s="16" t="s">
        <v>30</v>
      </c>
      <c r="MD13" s="17">
        <v>27677.5</v>
      </c>
      <c r="ME13" s="16" t="s">
        <v>30</v>
      </c>
      <c r="MF13" s="17">
        <v>28310.3</v>
      </c>
      <c r="MG13" s="16" t="s">
        <v>30</v>
      </c>
      <c r="MH13" s="18">
        <v>21445</v>
      </c>
      <c r="MI13" s="16" t="s">
        <v>30</v>
      </c>
      <c r="MJ13" s="17">
        <v>25708.1</v>
      </c>
      <c r="MK13" s="16" t="s">
        <v>30</v>
      </c>
      <c r="ML13" s="17">
        <v>28404.6</v>
      </c>
      <c r="MM13" s="16" t="s">
        <v>30</v>
      </c>
      <c r="MN13" s="17">
        <v>29133.200000000001</v>
      </c>
      <c r="MO13" s="16" t="s">
        <v>30</v>
      </c>
      <c r="MP13" s="17">
        <v>22189.3</v>
      </c>
      <c r="MQ13" s="16" t="s">
        <v>30</v>
      </c>
      <c r="MR13" s="17">
        <v>26545.200000000001</v>
      </c>
      <c r="MS13" s="16" t="s">
        <v>30</v>
      </c>
      <c r="MT13" s="17">
        <v>29429.8</v>
      </c>
      <c r="MU13" s="16" t="s">
        <v>30</v>
      </c>
      <c r="MV13" s="17">
        <v>30128.5</v>
      </c>
      <c r="MW13" s="16" t="s">
        <v>30</v>
      </c>
      <c r="MX13" s="18">
        <v>22159</v>
      </c>
      <c r="MY13" s="16" t="s">
        <v>30</v>
      </c>
      <c r="MZ13" s="17">
        <v>24732.1</v>
      </c>
      <c r="NA13" s="16" t="s">
        <v>30</v>
      </c>
      <c r="NB13" s="17">
        <v>28965.8</v>
      </c>
      <c r="NC13" s="16" t="s">
        <v>30</v>
      </c>
      <c r="ND13" s="17">
        <v>29147.7</v>
      </c>
      <c r="NE13" s="16" t="s">
        <v>30</v>
      </c>
      <c r="NF13" s="17">
        <v>22896.5</v>
      </c>
      <c r="NG13" s="16" t="s">
        <v>30</v>
      </c>
      <c r="NH13" s="17">
        <v>26154.7</v>
      </c>
      <c r="NI13" s="16" t="s">
        <v>30</v>
      </c>
      <c r="NJ13" s="18">
        <v>31673</v>
      </c>
      <c r="NK13" s="16" t="s">
        <v>30</v>
      </c>
      <c r="NL13" s="17">
        <v>32881.300000000003</v>
      </c>
      <c r="NM13" s="16" t="s">
        <v>30</v>
      </c>
      <c r="NN13" s="17">
        <v>24317.200000000001</v>
      </c>
      <c r="NO13" s="16" t="s">
        <v>30</v>
      </c>
      <c r="NP13" s="17">
        <v>27815.5</v>
      </c>
      <c r="NQ13" s="16" t="s">
        <v>30</v>
      </c>
      <c r="NR13" s="17">
        <v>33317.1</v>
      </c>
      <c r="NS13" s="16" t="s">
        <v>30</v>
      </c>
      <c r="NT13" s="17">
        <v>34420.699999999997</v>
      </c>
      <c r="NU13" s="16" t="s">
        <v>30</v>
      </c>
      <c r="NV13" s="17">
        <v>24752.7</v>
      </c>
      <c r="NW13" s="16" t="s">
        <v>30</v>
      </c>
      <c r="NX13" s="17">
        <v>28164.5</v>
      </c>
      <c r="NY13" s="16" t="s">
        <v>30</v>
      </c>
      <c r="NZ13" s="17">
        <v>33455.800000000003</v>
      </c>
      <c r="OA13" s="16" t="s">
        <v>30</v>
      </c>
      <c r="OB13" s="17">
        <v>34735.5</v>
      </c>
      <c r="OC13" s="16" t="s">
        <v>30</v>
      </c>
      <c r="OD13" s="17">
        <v>25134.7</v>
      </c>
      <c r="OE13" s="16" t="s">
        <v>30</v>
      </c>
      <c r="OF13" s="17">
        <v>28980.3</v>
      </c>
      <c r="OG13" s="16" t="s">
        <v>30</v>
      </c>
      <c r="OH13" s="17">
        <v>34415.4</v>
      </c>
      <c r="OI13" s="16" t="s">
        <v>30</v>
      </c>
      <c r="OJ13" s="17">
        <v>35954.400000000001</v>
      </c>
      <c r="OK13" s="16" t="s">
        <v>30</v>
      </c>
      <c r="OL13" s="17">
        <v>25735.4</v>
      </c>
      <c r="OM13" s="16" t="s">
        <v>237</v>
      </c>
      <c r="ON13" s="17">
        <v>29787.8</v>
      </c>
      <c r="OO13" s="16" t="s">
        <v>237</v>
      </c>
      <c r="OP13" s="16" t="s">
        <v>235</v>
      </c>
      <c r="OQ13" s="16" t="s">
        <v>30</v>
      </c>
    </row>
    <row r="14" spans="1:407" x14ac:dyDescent="0.3">
      <c r="A14" s="12" t="s">
        <v>239</v>
      </c>
      <c r="B14" s="13" t="s">
        <v>235</v>
      </c>
      <c r="C14" s="13" t="s">
        <v>30</v>
      </c>
      <c r="D14" s="13" t="s">
        <v>235</v>
      </c>
      <c r="E14" s="13" t="s">
        <v>30</v>
      </c>
      <c r="F14" s="13" t="s">
        <v>235</v>
      </c>
      <c r="G14" s="13" t="s">
        <v>30</v>
      </c>
      <c r="H14" s="13" t="s">
        <v>235</v>
      </c>
      <c r="I14" s="13" t="s">
        <v>30</v>
      </c>
      <c r="J14" s="13" t="s">
        <v>235</v>
      </c>
      <c r="K14" s="13" t="s">
        <v>30</v>
      </c>
      <c r="L14" s="13" t="s">
        <v>235</v>
      </c>
      <c r="M14" s="13" t="s">
        <v>30</v>
      </c>
      <c r="N14" s="13" t="s">
        <v>235</v>
      </c>
      <c r="O14" s="13" t="s">
        <v>30</v>
      </c>
      <c r="P14" s="13" t="s">
        <v>235</v>
      </c>
      <c r="Q14" s="13" t="s">
        <v>30</v>
      </c>
      <c r="R14" s="13" t="s">
        <v>235</v>
      </c>
      <c r="S14" s="13" t="s">
        <v>30</v>
      </c>
      <c r="T14" s="13" t="s">
        <v>235</v>
      </c>
      <c r="U14" s="13" t="s">
        <v>30</v>
      </c>
      <c r="V14" s="13" t="s">
        <v>235</v>
      </c>
      <c r="W14" s="13" t="s">
        <v>30</v>
      </c>
      <c r="X14" s="13" t="s">
        <v>235</v>
      </c>
      <c r="Y14" s="13" t="s">
        <v>30</v>
      </c>
      <c r="Z14" s="13" t="s">
        <v>235</v>
      </c>
      <c r="AA14" s="13" t="s">
        <v>30</v>
      </c>
      <c r="AB14" s="13" t="s">
        <v>235</v>
      </c>
      <c r="AC14" s="13" t="s">
        <v>30</v>
      </c>
      <c r="AD14" s="13" t="s">
        <v>235</v>
      </c>
      <c r="AE14" s="13" t="s">
        <v>30</v>
      </c>
      <c r="AF14" s="13" t="s">
        <v>235</v>
      </c>
      <c r="AG14" s="13" t="s">
        <v>30</v>
      </c>
      <c r="AH14" s="13" t="s">
        <v>235</v>
      </c>
      <c r="AI14" s="13" t="s">
        <v>30</v>
      </c>
      <c r="AJ14" s="13" t="s">
        <v>235</v>
      </c>
      <c r="AK14" s="13" t="s">
        <v>30</v>
      </c>
      <c r="AL14" s="13" t="s">
        <v>235</v>
      </c>
      <c r="AM14" s="13" t="s">
        <v>30</v>
      </c>
      <c r="AN14" s="13" t="s">
        <v>235</v>
      </c>
      <c r="AO14" s="13" t="s">
        <v>30</v>
      </c>
      <c r="AP14" s="13" t="s">
        <v>235</v>
      </c>
      <c r="AQ14" s="13" t="s">
        <v>30</v>
      </c>
      <c r="AR14" s="13" t="s">
        <v>235</v>
      </c>
      <c r="AS14" s="13" t="s">
        <v>30</v>
      </c>
      <c r="AT14" s="13" t="s">
        <v>235</v>
      </c>
      <c r="AU14" s="13" t="s">
        <v>30</v>
      </c>
      <c r="AV14" s="13" t="s">
        <v>235</v>
      </c>
      <c r="AW14" s="13" t="s">
        <v>30</v>
      </c>
      <c r="AX14" s="13" t="s">
        <v>235</v>
      </c>
      <c r="AY14" s="13" t="s">
        <v>30</v>
      </c>
      <c r="AZ14" s="13" t="s">
        <v>235</v>
      </c>
      <c r="BA14" s="13" t="s">
        <v>30</v>
      </c>
      <c r="BB14" s="13" t="s">
        <v>235</v>
      </c>
      <c r="BC14" s="13" t="s">
        <v>30</v>
      </c>
      <c r="BD14" s="13" t="s">
        <v>235</v>
      </c>
      <c r="BE14" s="13" t="s">
        <v>30</v>
      </c>
      <c r="BF14" s="13" t="s">
        <v>235</v>
      </c>
      <c r="BG14" s="13" t="s">
        <v>30</v>
      </c>
      <c r="BH14" s="13" t="s">
        <v>235</v>
      </c>
      <c r="BI14" s="13" t="s">
        <v>30</v>
      </c>
      <c r="BJ14" s="13" t="s">
        <v>235</v>
      </c>
      <c r="BK14" s="13" t="s">
        <v>30</v>
      </c>
      <c r="BL14" s="13" t="s">
        <v>235</v>
      </c>
      <c r="BM14" s="13" t="s">
        <v>30</v>
      </c>
      <c r="BN14" s="13" t="s">
        <v>235</v>
      </c>
      <c r="BO14" s="13" t="s">
        <v>30</v>
      </c>
      <c r="BP14" s="13" t="s">
        <v>235</v>
      </c>
      <c r="BQ14" s="13" t="s">
        <v>30</v>
      </c>
      <c r="BR14" s="13" t="s">
        <v>235</v>
      </c>
      <c r="BS14" s="13" t="s">
        <v>30</v>
      </c>
      <c r="BT14" s="13" t="s">
        <v>235</v>
      </c>
      <c r="BU14" s="13" t="s">
        <v>30</v>
      </c>
      <c r="BV14" s="13" t="s">
        <v>235</v>
      </c>
      <c r="BW14" s="13" t="s">
        <v>30</v>
      </c>
      <c r="BX14" s="13" t="s">
        <v>235</v>
      </c>
      <c r="BY14" s="13" t="s">
        <v>30</v>
      </c>
      <c r="BZ14" s="13" t="s">
        <v>235</v>
      </c>
      <c r="CA14" s="13" t="s">
        <v>30</v>
      </c>
      <c r="CB14" s="13" t="s">
        <v>235</v>
      </c>
      <c r="CC14" s="13" t="s">
        <v>30</v>
      </c>
      <c r="CD14" s="13" t="s">
        <v>235</v>
      </c>
      <c r="CE14" s="13" t="s">
        <v>30</v>
      </c>
      <c r="CF14" s="13" t="s">
        <v>235</v>
      </c>
      <c r="CG14" s="13" t="s">
        <v>30</v>
      </c>
      <c r="CH14" s="13" t="s">
        <v>235</v>
      </c>
      <c r="CI14" s="13" t="s">
        <v>30</v>
      </c>
      <c r="CJ14" s="13" t="s">
        <v>235</v>
      </c>
      <c r="CK14" s="13" t="s">
        <v>30</v>
      </c>
      <c r="CL14" s="13" t="s">
        <v>235</v>
      </c>
      <c r="CM14" s="13" t="s">
        <v>30</v>
      </c>
      <c r="CN14" s="13" t="s">
        <v>235</v>
      </c>
      <c r="CO14" s="13" t="s">
        <v>30</v>
      </c>
      <c r="CP14" s="13" t="s">
        <v>235</v>
      </c>
      <c r="CQ14" s="13" t="s">
        <v>30</v>
      </c>
      <c r="CR14" s="13" t="s">
        <v>235</v>
      </c>
      <c r="CS14" s="13" t="s">
        <v>30</v>
      </c>
      <c r="CT14" s="13" t="s">
        <v>235</v>
      </c>
      <c r="CU14" s="13" t="s">
        <v>30</v>
      </c>
      <c r="CV14" s="13" t="s">
        <v>235</v>
      </c>
      <c r="CW14" s="13" t="s">
        <v>30</v>
      </c>
      <c r="CX14" s="13" t="s">
        <v>235</v>
      </c>
      <c r="CY14" s="13" t="s">
        <v>30</v>
      </c>
      <c r="CZ14" s="13" t="s">
        <v>235</v>
      </c>
      <c r="DA14" s="13" t="s">
        <v>30</v>
      </c>
      <c r="DB14" s="13" t="s">
        <v>235</v>
      </c>
      <c r="DC14" s="13" t="s">
        <v>30</v>
      </c>
      <c r="DD14" s="13" t="s">
        <v>235</v>
      </c>
      <c r="DE14" s="13" t="s">
        <v>30</v>
      </c>
      <c r="DF14" s="13" t="s">
        <v>235</v>
      </c>
      <c r="DG14" s="13" t="s">
        <v>30</v>
      </c>
      <c r="DH14" s="13" t="s">
        <v>235</v>
      </c>
      <c r="DI14" s="13" t="s">
        <v>30</v>
      </c>
      <c r="DJ14" s="13" t="s">
        <v>235</v>
      </c>
      <c r="DK14" s="13" t="s">
        <v>30</v>
      </c>
      <c r="DL14" s="13" t="s">
        <v>235</v>
      </c>
      <c r="DM14" s="13" t="s">
        <v>30</v>
      </c>
      <c r="DN14" s="13" t="s">
        <v>235</v>
      </c>
      <c r="DO14" s="13" t="s">
        <v>30</v>
      </c>
      <c r="DP14" s="13" t="s">
        <v>235</v>
      </c>
      <c r="DQ14" s="13" t="s">
        <v>30</v>
      </c>
      <c r="DR14" s="13" t="s">
        <v>235</v>
      </c>
      <c r="DS14" s="13" t="s">
        <v>30</v>
      </c>
      <c r="DT14" s="13" t="s">
        <v>235</v>
      </c>
      <c r="DU14" s="13" t="s">
        <v>30</v>
      </c>
      <c r="DV14" s="13" t="s">
        <v>235</v>
      </c>
      <c r="DW14" s="13" t="s">
        <v>30</v>
      </c>
      <c r="DX14" s="13" t="s">
        <v>235</v>
      </c>
      <c r="DY14" s="13" t="s">
        <v>30</v>
      </c>
      <c r="DZ14" s="13" t="s">
        <v>235</v>
      </c>
      <c r="EA14" s="13" t="s">
        <v>30</v>
      </c>
      <c r="EB14" s="13" t="s">
        <v>235</v>
      </c>
      <c r="EC14" s="13" t="s">
        <v>30</v>
      </c>
      <c r="ED14" s="13" t="s">
        <v>235</v>
      </c>
      <c r="EE14" s="13" t="s">
        <v>30</v>
      </c>
      <c r="EF14" s="13" t="s">
        <v>235</v>
      </c>
      <c r="EG14" s="13" t="s">
        <v>30</v>
      </c>
      <c r="EH14" s="13" t="s">
        <v>235</v>
      </c>
      <c r="EI14" s="13" t="s">
        <v>30</v>
      </c>
      <c r="EJ14" s="13" t="s">
        <v>235</v>
      </c>
      <c r="EK14" s="13" t="s">
        <v>30</v>
      </c>
      <c r="EL14" s="13" t="s">
        <v>235</v>
      </c>
      <c r="EM14" s="13" t="s">
        <v>30</v>
      </c>
      <c r="EN14" s="13" t="s">
        <v>235</v>
      </c>
      <c r="EO14" s="13" t="s">
        <v>30</v>
      </c>
      <c r="EP14" s="13" t="s">
        <v>235</v>
      </c>
      <c r="EQ14" s="13" t="s">
        <v>30</v>
      </c>
      <c r="ER14" s="13" t="s">
        <v>235</v>
      </c>
      <c r="ES14" s="13" t="s">
        <v>30</v>
      </c>
      <c r="ET14" s="13" t="s">
        <v>235</v>
      </c>
      <c r="EU14" s="13" t="s">
        <v>30</v>
      </c>
      <c r="EV14" s="13" t="s">
        <v>235</v>
      </c>
      <c r="EW14" s="13" t="s">
        <v>30</v>
      </c>
      <c r="EX14" s="13" t="s">
        <v>235</v>
      </c>
      <c r="EY14" s="13" t="s">
        <v>30</v>
      </c>
      <c r="EZ14" s="13" t="s">
        <v>235</v>
      </c>
      <c r="FA14" s="13" t="s">
        <v>30</v>
      </c>
      <c r="FB14" s="13" t="s">
        <v>235</v>
      </c>
      <c r="FC14" s="13" t="s">
        <v>30</v>
      </c>
      <c r="FD14" s="13" t="s">
        <v>235</v>
      </c>
      <c r="FE14" s="13" t="s">
        <v>30</v>
      </c>
      <c r="FF14" s="15">
        <v>711003</v>
      </c>
      <c r="FG14" s="13" t="s">
        <v>30</v>
      </c>
      <c r="FH14" s="15">
        <v>759153</v>
      </c>
      <c r="FI14" s="13" t="s">
        <v>30</v>
      </c>
      <c r="FJ14" s="15">
        <v>779096</v>
      </c>
      <c r="FK14" s="13" t="s">
        <v>30</v>
      </c>
      <c r="FL14" s="15">
        <v>787036</v>
      </c>
      <c r="FM14" s="13" t="s">
        <v>30</v>
      </c>
      <c r="FN14" s="15">
        <v>737903</v>
      </c>
      <c r="FO14" s="13" t="s">
        <v>30</v>
      </c>
      <c r="FP14" s="15">
        <v>795808</v>
      </c>
      <c r="FQ14" s="13" t="s">
        <v>30</v>
      </c>
      <c r="FR14" s="15">
        <v>809290</v>
      </c>
      <c r="FS14" s="13" t="s">
        <v>30</v>
      </c>
      <c r="FT14" s="15">
        <v>808989</v>
      </c>
      <c r="FU14" s="13" t="s">
        <v>30</v>
      </c>
      <c r="FV14" s="15">
        <v>736425</v>
      </c>
      <c r="FW14" s="13" t="s">
        <v>30</v>
      </c>
      <c r="FX14" s="15">
        <v>790297</v>
      </c>
      <c r="FY14" s="13" t="s">
        <v>30</v>
      </c>
      <c r="FZ14" s="15">
        <v>795117</v>
      </c>
      <c r="GA14" s="13" t="s">
        <v>30</v>
      </c>
      <c r="GB14" s="15">
        <v>788894</v>
      </c>
      <c r="GC14" s="13" t="s">
        <v>30</v>
      </c>
      <c r="GD14" s="15">
        <v>726666</v>
      </c>
      <c r="GE14" s="13" t="s">
        <v>30</v>
      </c>
      <c r="GF14" s="15">
        <v>782307</v>
      </c>
      <c r="GG14" s="13" t="s">
        <v>30</v>
      </c>
      <c r="GH14" s="15">
        <v>794015</v>
      </c>
      <c r="GI14" s="13" t="s">
        <v>30</v>
      </c>
      <c r="GJ14" s="15">
        <v>796222</v>
      </c>
      <c r="GK14" s="13" t="s">
        <v>30</v>
      </c>
      <c r="GL14" s="15">
        <v>730558</v>
      </c>
      <c r="GM14" s="13" t="s">
        <v>30</v>
      </c>
      <c r="GN14" s="15">
        <v>789347</v>
      </c>
      <c r="GO14" s="13" t="s">
        <v>30</v>
      </c>
      <c r="GP14" s="15">
        <v>803074</v>
      </c>
      <c r="GQ14" s="13" t="s">
        <v>30</v>
      </c>
      <c r="GR14" s="15">
        <v>820311</v>
      </c>
      <c r="GS14" s="13" t="s">
        <v>30</v>
      </c>
      <c r="GT14" s="15">
        <v>766717</v>
      </c>
      <c r="GU14" s="13" t="s">
        <v>30</v>
      </c>
      <c r="GV14" s="15">
        <v>821826</v>
      </c>
      <c r="GW14" s="13" t="s">
        <v>30</v>
      </c>
      <c r="GX14" s="15">
        <v>840091</v>
      </c>
      <c r="GY14" s="13" t="s">
        <v>30</v>
      </c>
      <c r="GZ14" s="15">
        <v>849259</v>
      </c>
      <c r="HA14" s="13" t="s">
        <v>30</v>
      </c>
      <c r="HB14" s="15">
        <v>794732</v>
      </c>
      <c r="HC14" s="13" t="s">
        <v>30</v>
      </c>
      <c r="HD14" s="15">
        <v>846621</v>
      </c>
      <c r="HE14" s="13" t="s">
        <v>30</v>
      </c>
      <c r="HF14" s="15">
        <v>857673</v>
      </c>
      <c r="HG14" s="13" t="s">
        <v>30</v>
      </c>
      <c r="HH14" s="15">
        <v>875173</v>
      </c>
      <c r="HI14" s="13" t="s">
        <v>30</v>
      </c>
      <c r="HJ14" s="15">
        <v>805080</v>
      </c>
      <c r="HK14" s="13" t="s">
        <v>30</v>
      </c>
      <c r="HL14" s="15">
        <v>862848</v>
      </c>
      <c r="HM14" s="13" t="s">
        <v>30</v>
      </c>
      <c r="HN14" s="15">
        <v>881225</v>
      </c>
      <c r="HO14" s="13" t="s">
        <v>30</v>
      </c>
      <c r="HP14" s="15">
        <v>891109</v>
      </c>
      <c r="HQ14" s="13" t="s">
        <v>30</v>
      </c>
      <c r="HR14" s="15">
        <v>823103</v>
      </c>
      <c r="HS14" s="13" t="s">
        <v>30</v>
      </c>
      <c r="HT14" s="15">
        <v>883563</v>
      </c>
      <c r="HU14" s="13" t="s">
        <v>30</v>
      </c>
      <c r="HV14" s="15">
        <v>907793</v>
      </c>
      <c r="HW14" s="13" t="s">
        <v>30</v>
      </c>
      <c r="HX14" s="15">
        <v>917624</v>
      </c>
      <c r="HY14" s="13" t="s">
        <v>30</v>
      </c>
      <c r="HZ14" s="15">
        <v>858375</v>
      </c>
      <c r="IA14" s="13" t="s">
        <v>30</v>
      </c>
      <c r="IB14" s="15">
        <v>925850</v>
      </c>
      <c r="IC14" s="13" t="s">
        <v>30</v>
      </c>
      <c r="ID14" s="15">
        <v>941295</v>
      </c>
      <c r="IE14" s="13" t="s">
        <v>30</v>
      </c>
      <c r="IF14" s="15">
        <v>975008</v>
      </c>
      <c r="IG14" s="13" t="s">
        <v>30</v>
      </c>
      <c r="IH14" s="15">
        <v>904709</v>
      </c>
      <c r="II14" s="13" t="s">
        <v>30</v>
      </c>
      <c r="IJ14" s="15">
        <v>989021</v>
      </c>
      <c r="IK14" s="13" t="s">
        <v>30</v>
      </c>
      <c r="IL14" s="15">
        <v>1003495</v>
      </c>
      <c r="IM14" s="13" t="s">
        <v>30</v>
      </c>
      <c r="IN14" s="15">
        <v>1044962</v>
      </c>
      <c r="IO14" s="13" t="s">
        <v>30</v>
      </c>
      <c r="IP14" s="15">
        <v>975717</v>
      </c>
      <c r="IQ14" s="13" t="s">
        <v>30</v>
      </c>
      <c r="IR14" s="15">
        <v>1058804</v>
      </c>
      <c r="IS14" s="13" t="s">
        <v>30</v>
      </c>
      <c r="IT14" s="15">
        <v>1074269</v>
      </c>
      <c r="IU14" s="13" t="s">
        <v>30</v>
      </c>
      <c r="IV14" s="15">
        <v>1114063</v>
      </c>
      <c r="IW14" s="13" t="s">
        <v>30</v>
      </c>
      <c r="IX14" s="15">
        <v>1035209</v>
      </c>
      <c r="IY14" s="13" t="s">
        <v>30</v>
      </c>
      <c r="IZ14" s="15">
        <v>1110642</v>
      </c>
      <c r="JA14" s="13" t="s">
        <v>30</v>
      </c>
      <c r="JB14" s="15">
        <v>1124193</v>
      </c>
      <c r="JC14" s="13" t="s">
        <v>30</v>
      </c>
      <c r="JD14" s="15">
        <v>1172312</v>
      </c>
      <c r="JE14" s="13" t="s">
        <v>30</v>
      </c>
      <c r="JF14" s="15">
        <v>1085731</v>
      </c>
      <c r="JG14" s="13" t="s">
        <v>30</v>
      </c>
      <c r="JH14" s="15">
        <v>1162909</v>
      </c>
      <c r="JI14" s="13" t="s">
        <v>30</v>
      </c>
      <c r="JJ14" s="15">
        <v>1180360</v>
      </c>
      <c r="JK14" s="13" t="s">
        <v>30</v>
      </c>
      <c r="JL14" s="15">
        <v>1168497</v>
      </c>
      <c r="JM14" s="13" t="s">
        <v>30</v>
      </c>
      <c r="JN14" s="15">
        <v>1029469</v>
      </c>
      <c r="JO14" s="13" t="s">
        <v>30</v>
      </c>
      <c r="JP14" s="15">
        <v>1090629</v>
      </c>
      <c r="JQ14" s="13" t="s">
        <v>30</v>
      </c>
      <c r="JR14" s="15">
        <v>1106311</v>
      </c>
      <c r="JS14" s="13" t="s">
        <v>30</v>
      </c>
      <c r="JT14" s="15">
        <v>1121096</v>
      </c>
      <c r="JU14" s="13" t="s">
        <v>30</v>
      </c>
      <c r="JV14" s="15">
        <v>1039846</v>
      </c>
      <c r="JW14" s="13" t="s">
        <v>30</v>
      </c>
      <c r="JX14" s="15">
        <v>1132682</v>
      </c>
      <c r="JY14" s="13" t="s">
        <v>30</v>
      </c>
      <c r="JZ14" s="15">
        <v>1146330</v>
      </c>
      <c r="KA14" s="13" t="s">
        <v>30</v>
      </c>
      <c r="KB14" s="15">
        <v>1172652</v>
      </c>
      <c r="KC14" s="13" t="s">
        <v>30</v>
      </c>
      <c r="KD14" s="15">
        <v>1074922</v>
      </c>
      <c r="KE14" s="13" t="s">
        <v>30</v>
      </c>
      <c r="KF14" s="15">
        <v>1160454</v>
      </c>
      <c r="KG14" s="13" t="s">
        <v>30</v>
      </c>
      <c r="KH14" s="15">
        <v>1159820</v>
      </c>
      <c r="KI14" s="13" t="s">
        <v>30</v>
      </c>
      <c r="KJ14" s="15">
        <v>1175777</v>
      </c>
      <c r="KK14" s="13" t="s">
        <v>30</v>
      </c>
      <c r="KL14" s="15">
        <v>1087172</v>
      </c>
      <c r="KM14" s="13" t="s">
        <v>30</v>
      </c>
      <c r="KN14" s="15">
        <v>1145527</v>
      </c>
      <c r="KO14" s="13" t="s">
        <v>30</v>
      </c>
      <c r="KP14" s="15">
        <v>1140031</v>
      </c>
      <c r="KQ14" s="13" t="s">
        <v>30</v>
      </c>
      <c r="KR14" s="15">
        <v>1160669</v>
      </c>
      <c r="KS14" s="13" t="s">
        <v>30</v>
      </c>
      <c r="KT14" s="15">
        <v>1069666</v>
      </c>
      <c r="KU14" s="13" t="s">
        <v>30</v>
      </c>
      <c r="KV14" s="15">
        <v>1144863</v>
      </c>
      <c r="KW14" s="13" t="s">
        <v>30</v>
      </c>
      <c r="KX14" s="15">
        <v>1152594</v>
      </c>
      <c r="KY14" s="13" t="s">
        <v>30</v>
      </c>
      <c r="KZ14" s="15">
        <v>1165748</v>
      </c>
      <c r="LA14" s="13" t="s">
        <v>30</v>
      </c>
      <c r="LB14" s="15">
        <v>1091663</v>
      </c>
      <c r="LC14" s="13" t="s">
        <v>30</v>
      </c>
      <c r="LD14" s="15">
        <v>1174384</v>
      </c>
      <c r="LE14" s="13" t="s">
        <v>30</v>
      </c>
      <c r="LF14" s="15">
        <v>1193148</v>
      </c>
      <c r="LG14" s="13" t="s">
        <v>30</v>
      </c>
      <c r="LH14" s="15">
        <v>1202134</v>
      </c>
      <c r="LI14" s="13" t="s">
        <v>30</v>
      </c>
      <c r="LJ14" s="15">
        <v>1136654</v>
      </c>
      <c r="LK14" s="13" t="s">
        <v>30</v>
      </c>
      <c r="LL14" s="15">
        <v>1225790</v>
      </c>
      <c r="LM14" s="13" t="s">
        <v>30</v>
      </c>
      <c r="LN14" s="15">
        <v>1245062</v>
      </c>
      <c r="LO14" s="13" t="s">
        <v>30</v>
      </c>
      <c r="LP14" s="15">
        <v>1256588</v>
      </c>
      <c r="LQ14" s="13" t="s">
        <v>30</v>
      </c>
      <c r="LR14" s="15">
        <v>1168440</v>
      </c>
      <c r="LS14" s="13" t="s">
        <v>30</v>
      </c>
      <c r="LT14" s="15">
        <v>1265513</v>
      </c>
      <c r="LU14" s="13" t="s">
        <v>30</v>
      </c>
      <c r="LV14" s="15">
        <v>1266132</v>
      </c>
      <c r="LW14" s="13" t="s">
        <v>30</v>
      </c>
      <c r="LX14" s="15">
        <v>1287860</v>
      </c>
      <c r="LY14" s="13" t="s">
        <v>30</v>
      </c>
      <c r="LZ14" s="15">
        <v>1223434</v>
      </c>
      <c r="MA14" s="13" t="s">
        <v>30</v>
      </c>
      <c r="MB14" s="15">
        <v>1327903</v>
      </c>
      <c r="MC14" s="13" t="s">
        <v>30</v>
      </c>
      <c r="MD14" s="15">
        <v>1338890</v>
      </c>
      <c r="ME14" s="13" t="s">
        <v>30</v>
      </c>
      <c r="MF14" s="15">
        <v>1357412</v>
      </c>
      <c r="MG14" s="13" t="s">
        <v>30</v>
      </c>
      <c r="MH14" s="15">
        <v>1270362</v>
      </c>
      <c r="MI14" s="13" t="s">
        <v>30</v>
      </c>
      <c r="MJ14" s="15">
        <v>1363628</v>
      </c>
      <c r="MK14" s="13" t="s">
        <v>30</v>
      </c>
      <c r="ML14" s="15">
        <v>1369912</v>
      </c>
      <c r="MM14" s="13" t="s">
        <v>30</v>
      </c>
      <c r="MN14" s="15">
        <v>1399703</v>
      </c>
      <c r="MO14" s="13" t="s">
        <v>30</v>
      </c>
      <c r="MP14" s="15">
        <v>1315048</v>
      </c>
      <c r="MQ14" s="13" t="s">
        <v>30</v>
      </c>
      <c r="MR14" s="15">
        <v>1410533</v>
      </c>
      <c r="MS14" s="13" t="s">
        <v>30</v>
      </c>
      <c r="MT14" s="15">
        <v>1430885</v>
      </c>
      <c r="MU14" s="13" t="s">
        <v>30</v>
      </c>
      <c r="MV14" s="15">
        <v>1441645</v>
      </c>
      <c r="MW14" s="13" t="s">
        <v>30</v>
      </c>
      <c r="MX14" s="15">
        <v>1304336</v>
      </c>
      <c r="MY14" s="13" t="s">
        <v>30</v>
      </c>
      <c r="MZ14" s="15">
        <v>1261910</v>
      </c>
      <c r="NA14" s="13" t="s">
        <v>30</v>
      </c>
      <c r="NB14" s="15">
        <v>1366778</v>
      </c>
      <c r="NC14" s="13" t="s">
        <v>30</v>
      </c>
      <c r="ND14" s="15">
        <v>1382342</v>
      </c>
      <c r="NE14" s="13" t="s">
        <v>30</v>
      </c>
      <c r="NF14" s="15">
        <v>1284529</v>
      </c>
      <c r="NG14" s="13" t="s">
        <v>30</v>
      </c>
      <c r="NH14" s="15">
        <v>1394162</v>
      </c>
      <c r="NI14" s="13" t="s">
        <v>30</v>
      </c>
      <c r="NJ14" s="15">
        <v>1412227</v>
      </c>
      <c r="NK14" s="13" t="s">
        <v>30</v>
      </c>
      <c r="NL14" s="15">
        <v>1433306</v>
      </c>
      <c r="NM14" s="13" t="s">
        <v>30</v>
      </c>
      <c r="NN14" s="15">
        <v>1343910</v>
      </c>
      <c r="NO14" s="13" t="s">
        <v>30</v>
      </c>
      <c r="NP14" s="15">
        <v>1445755</v>
      </c>
      <c r="NQ14" s="13" t="s">
        <v>30</v>
      </c>
      <c r="NR14" s="15">
        <v>1441268</v>
      </c>
      <c r="NS14" s="13" t="s">
        <v>30</v>
      </c>
      <c r="NT14" s="15">
        <v>1453691</v>
      </c>
      <c r="NU14" s="13" t="s">
        <v>30</v>
      </c>
      <c r="NV14" s="15">
        <v>1368749</v>
      </c>
      <c r="NW14" s="13" t="s">
        <v>30</v>
      </c>
      <c r="NX14" s="15">
        <v>1447369</v>
      </c>
      <c r="NY14" s="13" t="s">
        <v>30</v>
      </c>
      <c r="NZ14" s="15">
        <v>1442507</v>
      </c>
      <c r="OA14" s="13" t="s">
        <v>30</v>
      </c>
      <c r="OB14" s="15">
        <v>1457886</v>
      </c>
      <c r="OC14" s="13" t="s">
        <v>30</v>
      </c>
      <c r="OD14" s="15">
        <v>1353709</v>
      </c>
      <c r="OE14" s="13" t="s">
        <v>30</v>
      </c>
      <c r="OF14" s="15">
        <v>1450642</v>
      </c>
      <c r="OG14" s="13" t="s">
        <v>30</v>
      </c>
      <c r="OH14" s="15">
        <v>1468106</v>
      </c>
      <c r="OI14" s="13" t="s">
        <v>30</v>
      </c>
      <c r="OJ14" s="15">
        <v>1477936</v>
      </c>
      <c r="OK14" s="13" t="s">
        <v>30</v>
      </c>
      <c r="OL14" s="15">
        <v>1389845</v>
      </c>
      <c r="OM14" s="13" t="s">
        <v>30</v>
      </c>
      <c r="ON14" s="15">
        <v>1487054</v>
      </c>
      <c r="OO14" s="13" t="s">
        <v>30</v>
      </c>
      <c r="OP14" s="13" t="s">
        <v>235</v>
      </c>
      <c r="OQ14" s="13" t="s">
        <v>30</v>
      </c>
    </row>
    <row r="15" spans="1:407" x14ac:dyDescent="0.3">
      <c r="A15" s="12" t="s">
        <v>240</v>
      </c>
      <c r="B15" s="16" t="s">
        <v>235</v>
      </c>
      <c r="C15" s="16" t="s">
        <v>30</v>
      </c>
      <c r="D15" s="16" t="s">
        <v>235</v>
      </c>
      <c r="E15" s="16" t="s">
        <v>30</v>
      </c>
      <c r="F15" s="16" t="s">
        <v>235</v>
      </c>
      <c r="G15" s="16" t="s">
        <v>30</v>
      </c>
      <c r="H15" s="16" t="s">
        <v>235</v>
      </c>
      <c r="I15" s="16" t="s">
        <v>30</v>
      </c>
      <c r="J15" s="16" t="s">
        <v>235</v>
      </c>
      <c r="K15" s="16" t="s">
        <v>30</v>
      </c>
      <c r="L15" s="16" t="s">
        <v>235</v>
      </c>
      <c r="M15" s="16" t="s">
        <v>30</v>
      </c>
      <c r="N15" s="16" t="s">
        <v>235</v>
      </c>
      <c r="O15" s="16" t="s">
        <v>30</v>
      </c>
      <c r="P15" s="16" t="s">
        <v>235</v>
      </c>
      <c r="Q15" s="16" t="s">
        <v>30</v>
      </c>
      <c r="R15" s="16" t="s">
        <v>235</v>
      </c>
      <c r="S15" s="16" t="s">
        <v>30</v>
      </c>
      <c r="T15" s="16" t="s">
        <v>235</v>
      </c>
      <c r="U15" s="16" t="s">
        <v>30</v>
      </c>
      <c r="V15" s="16" t="s">
        <v>235</v>
      </c>
      <c r="W15" s="16" t="s">
        <v>30</v>
      </c>
      <c r="X15" s="16" t="s">
        <v>235</v>
      </c>
      <c r="Y15" s="16" t="s">
        <v>30</v>
      </c>
      <c r="Z15" s="16" t="s">
        <v>235</v>
      </c>
      <c r="AA15" s="16" t="s">
        <v>30</v>
      </c>
      <c r="AB15" s="16" t="s">
        <v>235</v>
      </c>
      <c r="AC15" s="16" t="s">
        <v>30</v>
      </c>
      <c r="AD15" s="16" t="s">
        <v>235</v>
      </c>
      <c r="AE15" s="16" t="s">
        <v>30</v>
      </c>
      <c r="AF15" s="16" t="s">
        <v>235</v>
      </c>
      <c r="AG15" s="16" t="s">
        <v>30</v>
      </c>
      <c r="AH15" s="16" t="s">
        <v>235</v>
      </c>
      <c r="AI15" s="16" t="s">
        <v>30</v>
      </c>
      <c r="AJ15" s="16" t="s">
        <v>235</v>
      </c>
      <c r="AK15" s="16" t="s">
        <v>30</v>
      </c>
      <c r="AL15" s="16" t="s">
        <v>235</v>
      </c>
      <c r="AM15" s="16" t="s">
        <v>30</v>
      </c>
      <c r="AN15" s="16" t="s">
        <v>235</v>
      </c>
      <c r="AO15" s="16" t="s">
        <v>30</v>
      </c>
      <c r="AP15" s="16" t="s">
        <v>235</v>
      </c>
      <c r="AQ15" s="16" t="s">
        <v>30</v>
      </c>
      <c r="AR15" s="16" t="s">
        <v>235</v>
      </c>
      <c r="AS15" s="16" t="s">
        <v>30</v>
      </c>
      <c r="AT15" s="16" t="s">
        <v>235</v>
      </c>
      <c r="AU15" s="16" t="s">
        <v>30</v>
      </c>
      <c r="AV15" s="16" t="s">
        <v>235</v>
      </c>
      <c r="AW15" s="16" t="s">
        <v>30</v>
      </c>
      <c r="AX15" s="16" t="s">
        <v>235</v>
      </c>
      <c r="AY15" s="16" t="s">
        <v>30</v>
      </c>
      <c r="AZ15" s="16" t="s">
        <v>235</v>
      </c>
      <c r="BA15" s="16" t="s">
        <v>30</v>
      </c>
      <c r="BB15" s="16" t="s">
        <v>235</v>
      </c>
      <c r="BC15" s="16" t="s">
        <v>30</v>
      </c>
      <c r="BD15" s="16" t="s">
        <v>235</v>
      </c>
      <c r="BE15" s="16" t="s">
        <v>30</v>
      </c>
      <c r="BF15" s="16" t="s">
        <v>235</v>
      </c>
      <c r="BG15" s="16" t="s">
        <v>30</v>
      </c>
      <c r="BH15" s="16" t="s">
        <v>235</v>
      </c>
      <c r="BI15" s="16" t="s">
        <v>30</v>
      </c>
      <c r="BJ15" s="16" t="s">
        <v>235</v>
      </c>
      <c r="BK15" s="16" t="s">
        <v>30</v>
      </c>
      <c r="BL15" s="16" t="s">
        <v>235</v>
      </c>
      <c r="BM15" s="16" t="s">
        <v>30</v>
      </c>
      <c r="BN15" s="16" t="s">
        <v>235</v>
      </c>
      <c r="BO15" s="16" t="s">
        <v>30</v>
      </c>
      <c r="BP15" s="16" t="s">
        <v>235</v>
      </c>
      <c r="BQ15" s="16" t="s">
        <v>30</v>
      </c>
      <c r="BR15" s="16" t="s">
        <v>235</v>
      </c>
      <c r="BS15" s="16" t="s">
        <v>30</v>
      </c>
      <c r="BT15" s="16" t="s">
        <v>235</v>
      </c>
      <c r="BU15" s="16" t="s">
        <v>30</v>
      </c>
      <c r="BV15" s="16" t="s">
        <v>235</v>
      </c>
      <c r="BW15" s="16" t="s">
        <v>30</v>
      </c>
      <c r="BX15" s="16" t="s">
        <v>235</v>
      </c>
      <c r="BY15" s="16" t="s">
        <v>30</v>
      </c>
      <c r="BZ15" s="16" t="s">
        <v>235</v>
      </c>
      <c r="CA15" s="16" t="s">
        <v>30</v>
      </c>
      <c r="CB15" s="16" t="s">
        <v>235</v>
      </c>
      <c r="CC15" s="16" t="s">
        <v>30</v>
      </c>
      <c r="CD15" s="16" t="s">
        <v>235</v>
      </c>
      <c r="CE15" s="16" t="s">
        <v>30</v>
      </c>
      <c r="CF15" s="16" t="s">
        <v>235</v>
      </c>
      <c r="CG15" s="16" t="s">
        <v>30</v>
      </c>
      <c r="CH15" s="16" t="s">
        <v>235</v>
      </c>
      <c r="CI15" s="16" t="s">
        <v>30</v>
      </c>
      <c r="CJ15" s="16" t="s">
        <v>235</v>
      </c>
      <c r="CK15" s="16" t="s">
        <v>30</v>
      </c>
      <c r="CL15" s="16" t="s">
        <v>235</v>
      </c>
      <c r="CM15" s="16" t="s">
        <v>30</v>
      </c>
      <c r="CN15" s="16" t="s">
        <v>235</v>
      </c>
      <c r="CO15" s="16" t="s">
        <v>30</v>
      </c>
      <c r="CP15" s="16" t="s">
        <v>235</v>
      </c>
      <c r="CQ15" s="16" t="s">
        <v>30</v>
      </c>
      <c r="CR15" s="16" t="s">
        <v>235</v>
      </c>
      <c r="CS15" s="16" t="s">
        <v>30</v>
      </c>
      <c r="CT15" s="16" t="s">
        <v>235</v>
      </c>
      <c r="CU15" s="16" t="s">
        <v>30</v>
      </c>
      <c r="CV15" s="16" t="s">
        <v>235</v>
      </c>
      <c r="CW15" s="16" t="s">
        <v>30</v>
      </c>
      <c r="CX15" s="16" t="s">
        <v>235</v>
      </c>
      <c r="CY15" s="16" t="s">
        <v>30</v>
      </c>
      <c r="CZ15" s="16" t="s">
        <v>235</v>
      </c>
      <c r="DA15" s="16" t="s">
        <v>30</v>
      </c>
      <c r="DB15" s="16" t="s">
        <v>235</v>
      </c>
      <c r="DC15" s="16" t="s">
        <v>30</v>
      </c>
      <c r="DD15" s="16" t="s">
        <v>235</v>
      </c>
      <c r="DE15" s="16" t="s">
        <v>30</v>
      </c>
      <c r="DF15" s="16" t="s">
        <v>235</v>
      </c>
      <c r="DG15" s="16" t="s">
        <v>30</v>
      </c>
      <c r="DH15" s="16" t="s">
        <v>235</v>
      </c>
      <c r="DI15" s="16" t="s">
        <v>30</v>
      </c>
      <c r="DJ15" s="16" t="s">
        <v>235</v>
      </c>
      <c r="DK15" s="16" t="s">
        <v>30</v>
      </c>
      <c r="DL15" s="16" t="s">
        <v>235</v>
      </c>
      <c r="DM15" s="16" t="s">
        <v>30</v>
      </c>
      <c r="DN15" s="16" t="s">
        <v>235</v>
      </c>
      <c r="DO15" s="16" t="s">
        <v>30</v>
      </c>
      <c r="DP15" s="16" t="s">
        <v>235</v>
      </c>
      <c r="DQ15" s="16" t="s">
        <v>30</v>
      </c>
      <c r="DR15" s="16" t="s">
        <v>235</v>
      </c>
      <c r="DS15" s="16" t="s">
        <v>30</v>
      </c>
      <c r="DT15" s="16" t="s">
        <v>235</v>
      </c>
      <c r="DU15" s="16" t="s">
        <v>30</v>
      </c>
      <c r="DV15" s="16" t="s">
        <v>235</v>
      </c>
      <c r="DW15" s="16" t="s">
        <v>30</v>
      </c>
      <c r="DX15" s="16" t="s">
        <v>235</v>
      </c>
      <c r="DY15" s="16" t="s">
        <v>30</v>
      </c>
      <c r="DZ15" s="16" t="s">
        <v>235</v>
      </c>
      <c r="EA15" s="16" t="s">
        <v>30</v>
      </c>
      <c r="EB15" s="16" t="s">
        <v>235</v>
      </c>
      <c r="EC15" s="16" t="s">
        <v>30</v>
      </c>
      <c r="ED15" s="16" t="s">
        <v>235</v>
      </c>
      <c r="EE15" s="16" t="s">
        <v>30</v>
      </c>
      <c r="EF15" s="16" t="s">
        <v>235</v>
      </c>
      <c r="EG15" s="16" t="s">
        <v>30</v>
      </c>
      <c r="EH15" s="16" t="s">
        <v>235</v>
      </c>
      <c r="EI15" s="16" t="s">
        <v>30</v>
      </c>
      <c r="EJ15" s="16" t="s">
        <v>235</v>
      </c>
      <c r="EK15" s="16" t="s">
        <v>30</v>
      </c>
      <c r="EL15" s="16" t="s">
        <v>235</v>
      </c>
      <c r="EM15" s="16" t="s">
        <v>30</v>
      </c>
      <c r="EN15" s="16" t="s">
        <v>235</v>
      </c>
      <c r="EO15" s="16" t="s">
        <v>30</v>
      </c>
      <c r="EP15" s="16" t="s">
        <v>235</v>
      </c>
      <c r="EQ15" s="16" t="s">
        <v>30</v>
      </c>
      <c r="ER15" s="16" t="s">
        <v>235</v>
      </c>
      <c r="ES15" s="16" t="s">
        <v>30</v>
      </c>
      <c r="ET15" s="16" t="s">
        <v>235</v>
      </c>
      <c r="EU15" s="16" t="s">
        <v>30</v>
      </c>
      <c r="EV15" s="16" t="s">
        <v>235</v>
      </c>
      <c r="EW15" s="16" t="s">
        <v>30</v>
      </c>
      <c r="EX15" s="16" t="s">
        <v>235</v>
      </c>
      <c r="EY15" s="16" t="s">
        <v>30</v>
      </c>
      <c r="EZ15" s="16" t="s">
        <v>235</v>
      </c>
      <c r="FA15" s="16" t="s">
        <v>30</v>
      </c>
      <c r="FB15" s="16" t="s">
        <v>235</v>
      </c>
      <c r="FC15" s="16" t="s">
        <v>30</v>
      </c>
      <c r="FD15" s="16" t="s">
        <v>235</v>
      </c>
      <c r="FE15" s="16" t="s">
        <v>30</v>
      </c>
      <c r="FF15" s="17">
        <v>353844.7</v>
      </c>
      <c r="FG15" s="16" t="s">
        <v>30</v>
      </c>
      <c r="FH15" s="17">
        <v>358393.9</v>
      </c>
      <c r="FI15" s="16" t="s">
        <v>30</v>
      </c>
      <c r="FJ15" s="17">
        <v>346778.9</v>
      </c>
      <c r="FK15" s="16" t="s">
        <v>30</v>
      </c>
      <c r="FL15" s="17">
        <v>366831.3</v>
      </c>
      <c r="FM15" s="16" t="s">
        <v>30</v>
      </c>
      <c r="FN15" s="17">
        <v>353866.5</v>
      </c>
      <c r="FO15" s="16" t="s">
        <v>30</v>
      </c>
      <c r="FP15" s="17">
        <v>370397.6</v>
      </c>
      <c r="FQ15" s="16" t="s">
        <v>30</v>
      </c>
      <c r="FR15" s="17">
        <v>359740.4</v>
      </c>
      <c r="FS15" s="16" t="s">
        <v>30</v>
      </c>
      <c r="FT15" s="17">
        <v>377802.5</v>
      </c>
      <c r="FU15" s="16" t="s">
        <v>30</v>
      </c>
      <c r="FV15" s="17">
        <v>364651.3</v>
      </c>
      <c r="FW15" s="16" t="s">
        <v>30</v>
      </c>
      <c r="FX15" s="17">
        <v>384399.1</v>
      </c>
      <c r="FY15" s="16" t="s">
        <v>30</v>
      </c>
      <c r="FZ15" s="17">
        <v>370761.3</v>
      </c>
      <c r="GA15" s="16" t="s">
        <v>30</v>
      </c>
      <c r="GB15" s="17">
        <v>387621.3</v>
      </c>
      <c r="GC15" s="16" t="s">
        <v>30</v>
      </c>
      <c r="GD15" s="17">
        <v>377522.2</v>
      </c>
      <c r="GE15" s="16" t="s">
        <v>30</v>
      </c>
      <c r="GF15" s="17">
        <v>380656.4</v>
      </c>
      <c r="GG15" s="16" t="s">
        <v>30</v>
      </c>
      <c r="GH15" s="17">
        <v>379471.5</v>
      </c>
      <c r="GI15" s="16" t="s">
        <v>30</v>
      </c>
      <c r="GJ15" s="17">
        <v>399428.4</v>
      </c>
      <c r="GK15" s="16" t="s">
        <v>30</v>
      </c>
      <c r="GL15" s="17">
        <v>383320.8</v>
      </c>
      <c r="GM15" s="16" t="s">
        <v>30</v>
      </c>
      <c r="GN15" s="17">
        <v>397641.7</v>
      </c>
      <c r="GO15" s="16" t="s">
        <v>30</v>
      </c>
      <c r="GP15" s="17">
        <v>391278.3</v>
      </c>
      <c r="GQ15" s="16" t="s">
        <v>30</v>
      </c>
      <c r="GR15" s="17">
        <v>415895.4</v>
      </c>
      <c r="GS15" s="16" t="s">
        <v>30</v>
      </c>
      <c r="GT15" s="17">
        <v>399961.2</v>
      </c>
      <c r="GU15" s="16" t="s">
        <v>30</v>
      </c>
      <c r="GV15" s="17">
        <v>414226.1</v>
      </c>
      <c r="GW15" s="16" t="s">
        <v>30</v>
      </c>
      <c r="GX15" s="17">
        <v>410612.4</v>
      </c>
      <c r="GY15" s="16" t="s">
        <v>30</v>
      </c>
      <c r="GZ15" s="17">
        <v>436830.7</v>
      </c>
      <c r="HA15" s="16" t="s">
        <v>30</v>
      </c>
      <c r="HB15" s="17">
        <v>407136.4</v>
      </c>
      <c r="HC15" s="16" t="s">
        <v>30</v>
      </c>
      <c r="HD15" s="17">
        <v>418022.40000000002</v>
      </c>
      <c r="HE15" s="16" t="s">
        <v>30</v>
      </c>
      <c r="HF15" s="17">
        <v>415993.7</v>
      </c>
      <c r="HG15" s="16" t="s">
        <v>30</v>
      </c>
      <c r="HH15" s="17">
        <v>436875.8</v>
      </c>
      <c r="HI15" s="16" t="s">
        <v>30</v>
      </c>
      <c r="HJ15" s="17">
        <v>405722.2</v>
      </c>
      <c r="HK15" s="16" t="s">
        <v>30</v>
      </c>
      <c r="HL15" s="17">
        <v>425707.3</v>
      </c>
      <c r="HM15" s="16" t="s">
        <v>30</v>
      </c>
      <c r="HN15" s="17">
        <v>417811.4</v>
      </c>
      <c r="HO15" s="16" t="s">
        <v>30</v>
      </c>
      <c r="HP15" s="17">
        <v>433948.9</v>
      </c>
      <c r="HQ15" s="16" t="s">
        <v>30</v>
      </c>
      <c r="HR15" s="17">
        <v>412452.5</v>
      </c>
      <c r="HS15" s="16" t="s">
        <v>30</v>
      </c>
      <c r="HT15" s="17">
        <v>421601.4</v>
      </c>
      <c r="HU15" s="16" t="s">
        <v>30</v>
      </c>
      <c r="HV15" s="17">
        <v>414946.3</v>
      </c>
      <c r="HW15" s="16" t="s">
        <v>30</v>
      </c>
      <c r="HX15" s="17">
        <v>441761.9</v>
      </c>
      <c r="HY15" s="16" t="s">
        <v>30</v>
      </c>
      <c r="HZ15" s="17">
        <v>417423.7</v>
      </c>
      <c r="IA15" s="16" t="s">
        <v>30</v>
      </c>
      <c r="IB15" s="17">
        <v>434313.9</v>
      </c>
      <c r="IC15" s="16" t="s">
        <v>30</v>
      </c>
      <c r="ID15" s="17">
        <v>426221.2</v>
      </c>
      <c r="IE15" s="16" t="s">
        <v>30</v>
      </c>
      <c r="IF15" s="17">
        <v>448105.1</v>
      </c>
      <c r="IG15" s="16" t="s">
        <v>30</v>
      </c>
      <c r="IH15" s="17">
        <v>416862.4</v>
      </c>
      <c r="II15" s="16" t="s">
        <v>30</v>
      </c>
      <c r="IJ15" s="18">
        <v>447699</v>
      </c>
      <c r="IK15" s="16" t="s">
        <v>30</v>
      </c>
      <c r="IL15" s="17">
        <v>435281.8</v>
      </c>
      <c r="IM15" s="16" t="s">
        <v>30</v>
      </c>
      <c r="IN15" s="17">
        <v>454716.2</v>
      </c>
      <c r="IO15" s="16" t="s">
        <v>30</v>
      </c>
      <c r="IP15" s="17">
        <v>435036.5</v>
      </c>
      <c r="IQ15" s="16" t="s">
        <v>30</v>
      </c>
      <c r="IR15" s="17">
        <v>463605.4</v>
      </c>
      <c r="IS15" s="16" t="s">
        <v>30</v>
      </c>
      <c r="IT15" s="17">
        <v>453107.9</v>
      </c>
      <c r="IU15" s="16" t="s">
        <v>30</v>
      </c>
      <c r="IV15" s="17">
        <v>468523.4</v>
      </c>
      <c r="IW15" s="16" t="s">
        <v>30</v>
      </c>
      <c r="IX15" s="17">
        <v>444187.2</v>
      </c>
      <c r="IY15" s="16" t="s">
        <v>30</v>
      </c>
      <c r="IZ15" s="17">
        <v>453461.8</v>
      </c>
      <c r="JA15" s="16" t="s">
        <v>30</v>
      </c>
      <c r="JB15" s="17">
        <v>456135.2</v>
      </c>
      <c r="JC15" s="16" t="s">
        <v>30</v>
      </c>
      <c r="JD15" s="17">
        <v>477498.5</v>
      </c>
      <c r="JE15" s="16" t="s">
        <v>30</v>
      </c>
      <c r="JF15" s="17">
        <v>448805.8</v>
      </c>
      <c r="JG15" s="16" t="s">
        <v>30</v>
      </c>
      <c r="JH15" s="17">
        <v>465926.2</v>
      </c>
      <c r="JI15" s="16" t="s">
        <v>30</v>
      </c>
      <c r="JJ15" s="17">
        <v>456685.1</v>
      </c>
      <c r="JK15" s="16" t="s">
        <v>30</v>
      </c>
      <c r="JL15" s="17">
        <v>463137.4</v>
      </c>
      <c r="JM15" s="16" t="s">
        <v>30</v>
      </c>
      <c r="JN15" s="17">
        <v>432527.1</v>
      </c>
      <c r="JO15" s="16" t="s">
        <v>30</v>
      </c>
      <c r="JP15" s="18">
        <v>436456</v>
      </c>
      <c r="JQ15" s="16" t="s">
        <v>30</v>
      </c>
      <c r="JR15" s="17">
        <v>434109.3</v>
      </c>
      <c r="JS15" s="16" t="s">
        <v>30</v>
      </c>
      <c r="JT15" s="17">
        <v>447925.2</v>
      </c>
      <c r="JU15" s="16" t="s">
        <v>30</v>
      </c>
      <c r="JV15" s="17">
        <v>427705.9</v>
      </c>
      <c r="JW15" s="16" t="s">
        <v>30</v>
      </c>
      <c r="JX15" s="17">
        <v>446076.9</v>
      </c>
      <c r="JY15" s="16" t="s">
        <v>30</v>
      </c>
      <c r="JZ15" s="17">
        <v>446793.3</v>
      </c>
      <c r="KA15" s="16" t="s">
        <v>30</v>
      </c>
      <c r="KB15" s="18">
        <v>456977</v>
      </c>
      <c r="KC15" s="16" t="s">
        <v>30</v>
      </c>
      <c r="KD15" s="17">
        <v>440127.5</v>
      </c>
      <c r="KE15" s="16" t="s">
        <v>30</v>
      </c>
      <c r="KF15" s="17">
        <v>455865.8</v>
      </c>
      <c r="KG15" s="16" t="s">
        <v>30</v>
      </c>
      <c r="KH15" s="17">
        <v>445965.8</v>
      </c>
      <c r="KI15" s="16" t="s">
        <v>30</v>
      </c>
      <c r="KJ15" s="17">
        <v>461453.7</v>
      </c>
      <c r="KK15" s="16" t="s">
        <v>30</v>
      </c>
      <c r="KL15" s="17">
        <v>440824.8</v>
      </c>
      <c r="KM15" s="16" t="s">
        <v>30</v>
      </c>
      <c r="KN15" s="17">
        <v>452688.6</v>
      </c>
      <c r="KO15" s="16" t="s">
        <v>30</v>
      </c>
      <c r="KP15" s="17">
        <v>449236.5</v>
      </c>
      <c r="KQ15" s="16" t="s">
        <v>30</v>
      </c>
      <c r="KR15" s="17">
        <v>460626.5</v>
      </c>
      <c r="KS15" s="16" t="s">
        <v>30</v>
      </c>
      <c r="KT15" s="17">
        <v>441457.3</v>
      </c>
      <c r="KU15" s="16" t="s">
        <v>30</v>
      </c>
      <c r="KV15" s="17">
        <v>461768.7</v>
      </c>
      <c r="KW15" s="16" t="s">
        <v>30</v>
      </c>
      <c r="KX15" s="17">
        <v>457375.6</v>
      </c>
      <c r="KY15" s="16" t="s">
        <v>30</v>
      </c>
      <c r="KZ15" s="17">
        <v>468747.4</v>
      </c>
      <c r="LA15" s="16" t="s">
        <v>30</v>
      </c>
      <c r="LB15" s="17">
        <v>449120.7</v>
      </c>
      <c r="LC15" s="16" t="s">
        <v>30</v>
      </c>
      <c r="LD15" s="17">
        <v>461949.2</v>
      </c>
      <c r="LE15" s="16" t="s">
        <v>30</v>
      </c>
      <c r="LF15" s="17">
        <v>463707.6</v>
      </c>
      <c r="LG15" s="16" t="s">
        <v>30</v>
      </c>
      <c r="LH15" s="17">
        <v>475270.7</v>
      </c>
      <c r="LI15" s="16" t="s">
        <v>30</v>
      </c>
      <c r="LJ15" s="17">
        <v>456699.2</v>
      </c>
      <c r="LK15" s="16" t="s">
        <v>30</v>
      </c>
      <c r="LL15" s="17">
        <v>476869.6</v>
      </c>
      <c r="LM15" s="16" t="s">
        <v>30</v>
      </c>
      <c r="LN15" s="17">
        <v>468924.1</v>
      </c>
      <c r="LO15" s="16" t="s">
        <v>30</v>
      </c>
      <c r="LP15" s="17">
        <v>483705.7</v>
      </c>
      <c r="LQ15" s="16" t="s">
        <v>30</v>
      </c>
      <c r="LR15" s="18">
        <v>463536</v>
      </c>
      <c r="LS15" s="16" t="s">
        <v>30</v>
      </c>
      <c r="LT15" s="17">
        <v>491331.3</v>
      </c>
      <c r="LU15" s="16" t="s">
        <v>30</v>
      </c>
      <c r="LV15" s="17">
        <v>485217.8</v>
      </c>
      <c r="LW15" s="16" t="s">
        <v>30</v>
      </c>
      <c r="LX15" s="17">
        <v>502332.4</v>
      </c>
      <c r="LY15" s="16" t="s">
        <v>30</v>
      </c>
      <c r="LZ15" s="18">
        <v>483522</v>
      </c>
      <c r="MA15" s="16" t="s">
        <v>30</v>
      </c>
      <c r="MB15" s="17">
        <v>507867.8</v>
      </c>
      <c r="MC15" s="16" t="s">
        <v>30</v>
      </c>
      <c r="MD15" s="17">
        <v>497423.1</v>
      </c>
      <c r="ME15" s="16" t="s">
        <v>30</v>
      </c>
      <c r="MF15" s="17">
        <v>515995.4</v>
      </c>
      <c r="MG15" s="16" t="s">
        <v>30</v>
      </c>
      <c r="MH15" s="17">
        <v>491097.2</v>
      </c>
      <c r="MI15" s="16" t="s">
        <v>30</v>
      </c>
      <c r="MJ15" s="17">
        <v>515979.5</v>
      </c>
      <c r="MK15" s="16" t="s">
        <v>30</v>
      </c>
      <c r="ML15" s="17">
        <v>506018.9</v>
      </c>
      <c r="MM15" s="16" t="s">
        <v>30</v>
      </c>
      <c r="MN15" s="17">
        <v>523011.2</v>
      </c>
      <c r="MO15" s="16" t="s">
        <v>30</v>
      </c>
      <c r="MP15" s="17">
        <v>497715.4</v>
      </c>
      <c r="MQ15" s="16" t="s">
        <v>30</v>
      </c>
      <c r="MR15" s="17">
        <v>524453.9</v>
      </c>
      <c r="MS15" s="16" t="s">
        <v>30</v>
      </c>
      <c r="MT15" s="17">
        <v>515915.3</v>
      </c>
      <c r="MU15" s="16" t="s">
        <v>30</v>
      </c>
      <c r="MV15" s="18">
        <v>532271</v>
      </c>
      <c r="MW15" s="16" t="s">
        <v>30</v>
      </c>
      <c r="MX15" s="17">
        <v>503009.8</v>
      </c>
      <c r="MY15" s="16" t="s">
        <v>30</v>
      </c>
      <c r="MZ15" s="17">
        <v>486342.1</v>
      </c>
      <c r="NA15" s="16" t="s">
        <v>30</v>
      </c>
      <c r="NB15" s="17">
        <v>504245.2</v>
      </c>
      <c r="NC15" s="16" t="s">
        <v>30</v>
      </c>
      <c r="ND15" s="17">
        <v>527723.30000000005</v>
      </c>
      <c r="NE15" s="16" t="s">
        <v>30</v>
      </c>
      <c r="NF15" s="18">
        <v>500012</v>
      </c>
      <c r="NG15" s="16" t="s">
        <v>30</v>
      </c>
      <c r="NH15" s="18">
        <v>537549</v>
      </c>
      <c r="NI15" s="16" t="s">
        <v>30</v>
      </c>
      <c r="NJ15" s="18">
        <v>536538</v>
      </c>
      <c r="NK15" s="16" t="s">
        <v>30</v>
      </c>
      <c r="NL15" s="17">
        <v>584536.80000000005</v>
      </c>
      <c r="NM15" s="16" t="s">
        <v>30</v>
      </c>
      <c r="NN15" s="17">
        <v>519952.8</v>
      </c>
      <c r="NO15" s="16" t="s">
        <v>30</v>
      </c>
      <c r="NP15" s="17">
        <v>549697.1</v>
      </c>
      <c r="NQ15" s="16" t="s">
        <v>30</v>
      </c>
      <c r="NR15" s="18">
        <v>547010</v>
      </c>
      <c r="NS15" s="16" t="s">
        <v>30</v>
      </c>
      <c r="NT15" s="17">
        <v>571560.6</v>
      </c>
      <c r="NU15" s="16" t="s">
        <v>30</v>
      </c>
      <c r="NV15" s="17">
        <v>538550.9</v>
      </c>
      <c r="NW15" s="16" t="s">
        <v>30</v>
      </c>
      <c r="NX15" s="17">
        <v>552622.80000000005</v>
      </c>
      <c r="NY15" s="16" t="s">
        <v>30</v>
      </c>
      <c r="NZ15" s="17">
        <v>542068.1</v>
      </c>
      <c r="OA15" s="16" t="s">
        <v>30</v>
      </c>
      <c r="OB15" s="17">
        <v>586557.19999999995</v>
      </c>
      <c r="OC15" s="16" t="s">
        <v>30</v>
      </c>
      <c r="OD15" s="17">
        <v>546013.30000000005</v>
      </c>
      <c r="OE15" s="16" t="s">
        <v>30</v>
      </c>
      <c r="OF15" s="17">
        <v>579431.4</v>
      </c>
      <c r="OG15" s="16" t="s">
        <v>30</v>
      </c>
      <c r="OH15" s="17">
        <v>567261.9</v>
      </c>
      <c r="OI15" s="16" t="s">
        <v>30</v>
      </c>
      <c r="OJ15" s="17">
        <v>611941.19999999995</v>
      </c>
      <c r="OK15" s="16" t="s">
        <v>30</v>
      </c>
      <c r="OL15" s="17">
        <v>563190.30000000005</v>
      </c>
      <c r="OM15" s="16" t="s">
        <v>30</v>
      </c>
      <c r="ON15" s="18">
        <v>586182</v>
      </c>
      <c r="OO15" s="16" t="s">
        <v>30</v>
      </c>
      <c r="OP15" s="16" t="s">
        <v>235</v>
      </c>
      <c r="OQ15" s="16" t="s">
        <v>30</v>
      </c>
    </row>
    <row r="16" spans="1:407" x14ac:dyDescent="0.3">
      <c r="A16" s="12" t="s">
        <v>241</v>
      </c>
      <c r="B16" s="13" t="s">
        <v>235</v>
      </c>
      <c r="C16" s="13" t="s">
        <v>30</v>
      </c>
      <c r="D16" s="13" t="s">
        <v>235</v>
      </c>
      <c r="E16" s="13" t="s">
        <v>30</v>
      </c>
      <c r="F16" s="13" t="s">
        <v>235</v>
      </c>
      <c r="G16" s="13" t="s">
        <v>30</v>
      </c>
      <c r="H16" s="13" t="s">
        <v>235</v>
      </c>
      <c r="I16" s="13" t="s">
        <v>30</v>
      </c>
      <c r="J16" s="13" t="s">
        <v>235</v>
      </c>
      <c r="K16" s="13" t="s">
        <v>30</v>
      </c>
      <c r="L16" s="13" t="s">
        <v>235</v>
      </c>
      <c r="M16" s="13" t="s">
        <v>30</v>
      </c>
      <c r="N16" s="13" t="s">
        <v>235</v>
      </c>
      <c r="O16" s="13" t="s">
        <v>30</v>
      </c>
      <c r="P16" s="13" t="s">
        <v>235</v>
      </c>
      <c r="Q16" s="13" t="s">
        <v>30</v>
      </c>
      <c r="R16" s="13" t="s">
        <v>235</v>
      </c>
      <c r="S16" s="13" t="s">
        <v>30</v>
      </c>
      <c r="T16" s="13" t="s">
        <v>235</v>
      </c>
      <c r="U16" s="13" t="s">
        <v>30</v>
      </c>
      <c r="V16" s="13" t="s">
        <v>235</v>
      </c>
      <c r="W16" s="13" t="s">
        <v>30</v>
      </c>
      <c r="X16" s="13" t="s">
        <v>235</v>
      </c>
      <c r="Y16" s="13" t="s">
        <v>30</v>
      </c>
      <c r="Z16" s="13" t="s">
        <v>235</v>
      </c>
      <c r="AA16" s="13" t="s">
        <v>30</v>
      </c>
      <c r="AB16" s="13" t="s">
        <v>235</v>
      </c>
      <c r="AC16" s="13" t="s">
        <v>30</v>
      </c>
      <c r="AD16" s="13" t="s">
        <v>235</v>
      </c>
      <c r="AE16" s="13" t="s">
        <v>30</v>
      </c>
      <c r="AF16" s="13" t="s">
        <v>235</v>
      </c>
      <c r="AG16" s="13" t="s">
        <v>30</v>
      </c>
      <c r="AH16" s="13" t="s">
        <v>235</v>
      </c>
      <c r="AI16" s="13" t="s">
        <v>30</v>
      </c>
      <c r="AJ16" s="13" t="s">
        <v>235</v>
      </c>
      <c r="AK16" s="13" t="s">
        <v>30</v>
      </c>
      <c r="AL16" s="13" t="s">
        <v>235</v>
      </c>
      <c r="AM16" s="13" t="s">
        <v>30</v>
      </c>
      <c r="AN16" s="13" t="s">
        <v>235</v>
      </c>
      <c r="AO16" s="13" t="s">
        <v>30</v>
      </c>
      <c r="AP16" s="13" t="s">
        <v>235</v>
      </c>
      <c r="AQ16" s="13" t="s">
        <v>30</v>
      </c>
      <c r="AR16" s="13" t="s">
        <v>235</v>
      </c>
      <c r="AS16" s="13" t="s">
        <v>30</v>
      </c>
      <c r="AT16" s="13" t="s">
        <v>235</v>
      </c>
      <c r="AU16" s="13" t="s">
        <v>30</v>
      </c>
      <c r="AV16" s="13" t="s">
        <v>235</v>
      </c>
      <c r="AW16" s="13" t="s">
        <v>30</v>
      </c>
      <c r="AX16" s="13" t="s">
        <v>235</v>
      </c>
      <c r="AY16" s="13" t="s">
        <v>30</v>
      </c>
      <c r="AZ16" s="13" t="s">
        <v>235</v>
      </c>
      <c r="BA16" s="13" t="s">
        <v>30</v>
      </c>
      <c r="BB16" s="13" t="s">
        <v>235</v>
      </c>
      <c r="BC16" s="13" t="s">
        <v>30</v>
      </c>
      <c r="BD16" s="13" t="s">
        <v>235</v>
      </c>
      <c r="BE16" s="13" t="s">
        <v>30</v>
      </c>
      <c r="BF16" s="13" t="s">
        <v>235</v>
      </c>
      <c r="BG16" s="13" t="s">
        <v>30</v>
      </c>
      <c r="BH16" s="13" t="s">
        <v>235</v>
      </c>
      <c r="BI16" s="13" t="s">
        <v>30</v>
      </c>
      <c r="BJ16" s="13" t="s">
        <v>235</v>
      </c>
      <c r="BK16" s="13" t="s">
        <v>30</v>
      </c>
      <c r="BL16" s="13" t="s">
        <v>235</v>
      </c>
      <c r="BM16" s="13" t="s">
        <v>30</v>
      </c>
      <c r="BN16" s="13" t="s">
        <v>235</v>
      </c>
      <c r="BO16" s="13" t="s">
        <v>30</v>
      </c>
      <c r="BP16" s="13" t="s">
        <v>235</v>
      </c>
      <c r="BQ16" s="13" t="s">
        <v>30</v>
      </c>
      <c r="BR16" s="13" t="s">
        <v>235</v>
      </c>
      <c r="BS16" s="13" t="s">
        <v>30</v>
      </c>
      <c r="BT16" s="13" t="s">
        <v>235</v>
      </c>
      <c r="BU16" s="13" t="s">
        <v>30</v>
      </c>
      <c r="BV16" s="13" t="s">
        <v>235</v>
      </c>
      <c r="BW16" s="13" t="s">
        <v>30</v>
      </c>
      <c r="BX16" s="13" t="s">
        <v>235</v>
      </c>
      <c r="BY16" s="13" t="s">
        <v>30</v>
      </c>
      <c r="BZ16" s="13" t="s">
        <v>235</v>
      </c>
      <c r="CA16" s="13" t="s">
        <v>30</v>
      </c>
      <c r="CB16" s="13" t="s">
        <v>235</v>
      </c>
      <c r="CC16" s="13" t="s">
        <v>30</v>
      </c>
      <c r="CD16" s="13" t="s">
        <v>235</v>
      </c>
      <c r="CE16" s="13" t="s">
        <v>30</v>
      </c>
      <c r="CF16" s="13" t="s">
        <v>235</v>
      </c>
      <c r="CG16" s="13" t="s">
        <v>30</v>
      </c>
      <c r="CH16" s="13" t="s">
        <v>235</v>
      </c>
      <c r="CI16" s="13" t="s">
        <v>30</v>
      </c>
      <c r="CJ16" s="13" t="s">
        <v>235</v>
      </c>
      <c r="CK16" s="13" t="s">
        <v>30</v>
      </c>
      <c r="CL16" s="13" t="s">
        <v>235</v>
      </c>
      <c r="CM16" s="13" t="s">
        <v>30</v>
      </c>
      <c r="CN16" s="13" t="s">
        <v>235</v>
      </c>
      <c r="CO16" s="13" t="s">
        <v>30</v>
      </c>
      <c r="CP16" s="13" t="s">
        <v>235</v>
      </c>
      <c r="CQ16" s="13" t="s">
        <v>30</v>
      </c>
      <c r="CR16" s="13" t="s">
        <v>235</v>
      </c>
      <c r="CS16" s="13" t="s">
        <v>30</v>
      </c>
      <c r="CT16" s="13" t="s">
        <v>235</v>
      </c>
      <c r="CU16" s="13" t="s">
        <v>30</v>
      </c>
      <c r="CV16" s="13" t="s">
        <v>235</v>
      </c>
      <c r="CW16" s="13" t="s">
        <v>30</v>
      </c>
      <c r="CX16" s="13" t="s">
        <v>235</v>
      </c>
      <c r="CY16" s="13" t="s">
        <v>30</v>
      </c>
      <c r="CZ16" s="13" t="s">
        <v>235</v>
      </c>
      <c r="DA16" s="13" t="s">
        <v>30</v>
      </c>
      <c r="DB16" s="13" t="s">
        <v>235</v>
      </c>
      <c r="DC16" s="13" t="s">
        <v>30</v>
      </c>
      <c r="DD16" s="13" t="s">
        <v>235</v>
      </c>
      <c r="DE16" s="13" t="s">
        <v>30</v>
      </c>
      <c r="DF16" s="13" t="s">
        <v>235</v>
      </c>
      <c r="DG16" s="13" t="s">
        <v>30</v>
      </c>
      <c r="DH16" s="13" t="s">
        <v>235</v>
      </c>
      <c r="DI16" s="13" t="s">
        <v>30</v>
      </c>
      <c r="DJ16" s="13" t="s">
        <v>235</v>
      </c>
      <c r="DK16" s="13" t="s">
        <v>30</v>
      </c>
      <c r="DL16" s="13" t="s">
        <v>235</v>
      </c>
      <c r="DM16" s="13" t="s">
        <v>30</v>
      </c>
      <c r="DN16" s="13" t="s">
        <v>235</v>
      </c>
      <c r="DO16" s="13" t="s">
        <v>30</v>
      </c>
      <c r="DP16" s="13" t="s">
        <v>235</v>
      </c>
      <c r="DQ16" s="13" t="s">
        <v>30</v>
      </c>
      <c r="DR16" s="13" t="s">
        <v>235</v>
      </c>
      <c r="DS16" s="13" t="s">
        <v>30</v>
      </c>
      <c r="DT16" s="13" t="s">
        <v>235</v>
      </c>
      <c r="DU16" s="13" t="s">
        <v>30</v>
      </c>
      <c r="DV16" s="13" t="s">
        <v>235</v>
      </c>
      <c r="DW16" s="13" t="s">
        <v>30</v>
      </c>
      <c r="DX16" s="13" t="s">
        <v>235</v>
      </c>
      <c r="DY16" s="13" t="s">
        <v>30</v>
      </c>
      <c r="DZ16" s="14">
        <v>530814.1</v>
      </c>
      <c r="EA16" s="13" t="s">
        <v>30</v>
      </c>
      <c r="EB16" s="14">
        <v>536936.80000000005</v>
      </c>
      <c r="EC16" s="13" t="s">
        <v>30</v>
      </c>
      <c r="ED16" s="14">
        <v>543524.5</v>
      </c>
      <c r="EE16" s="13" t="s">
        <v>30</v>
      </c>
      <c r="EF16" s="14">
        <v>554684.9</v>
      </c>
      <c r="EG16" s="13" t="s">
        <v>30</v>
      </c>
      <c r="EH16" s="14">
        <v>546004.6</v>
      </c>
      <c r="EI16" s="13" t="s">
        <v>30</v>
      </c>
      <c r="EJ16" s="14">
        <v>545772.1</v>
      </c>
      <c r="EK16" s="13" t="s">
        <v>30</v>
      </c>
      <c r="EL16" s="14">
        <v>556157.4</v>
      </c>
      <c r="EM16" s="13" t="s">
        <v>30</v>
      </c>
      <c r="EN16" s="14">
        <v>562125.1</v>
      </c>
      <c r="EO16" s="13" t="s">
        <v>30</v>
      </c>
      <c r="EP16" s="14">
        <v>532441.69999999995</v>
      </c>
      <c r="EQ16" s="13" t="s">
        <v>30</v>
      </c>
      <c r="ER16" s="14">
        <v>540501.9</v>
      </c>
      <c r="ES16" s="13" t="s">
        <v>30</v>
      </c>
      <c r="ET16" s="14">
        <v>551429.80000000005</v>
      </c>
      <c r="EU16" s="13" t="s">
        <v>30</v>
      </c>
      <c r="EV16" s="15">
        <v>559335</v>
      </c>
      <c r="EW16" s="13" t="s">
        <v>30</v>
      </c>
      <c r="EX16" s="14">
        <v>540656.9</v>
      </c>
      <c r="EY16" s="13" t="s">
        <v>30</v>
      </c>
      <c r="EZ16" s="14">
        <v>551894.80000000005</v>
      </c>
      <c r="FA16" s="13" t="s">
        <v>30</v>
      </c>
      <c r="FB16" s="14">
        <v>563985.19999999995</v>
      </c>
      <c r="FC16" s="13" t="s">
        <v>30</v>
      </c>
      <c r="FD16" s="14">
        <v>576075.5</v>
      </c>
      <c r="FE16" s="13" t="s">
        <v>30</v>
      </c>
      <c r="FF16" s="14">
        <v>555924.9</v>
      </c>
      <c r="FG16" s="13" t="s">
        <v>30</v>
      </c>
      <c r="FH16" s="14">
        <v>561970.1</v>
      </c>
      <c r="FI16" s="13" t="s">
        <v>30</v>
      </c>
      <c r="FJ16" s="14">
        <v>572510.4</v>
      </c>
      <c r="FK16" s="13" t="s">
        <v>30</v>
      </c>
      <c r="FL16" s="14">
        <v>582663.19999999995</v>
      </c>
      <c r="FM16" s="13" t="s">
        <v>30</v>
      </c>
      <c r="FN16" s="14">
        <v>554219.80000000005</v>
      </c>
      <c r="FO16" s="13" t="s">
        <v>30</v>
      </c>
      <c r="FP16" s="14">
        <v>566387.69999999995</v>
      </c>
      <c r="FQ16" s="13" t="s">
        <v>30</v>
      </c>
      <c r="FR16" s="14">
        <v>579563.1</v>
      </c>
      <c r="FS16" s="13" t="s">
        <v>30</v>
      </c>
      <c r="FT16" s="15">
        <v>591266</v>
      </c>
      <c r="FU16" s="13" t="s">
        <v>30</v>
      </c>
      <c r="FV16" s="14">
        <v>558482.5</v>
      </c>
      <c r="FW16" s="13" t="s">
        <v>30</v>
      </c>
      <c r="FX16" s="14">
        <v>583050.69999999995</v>
      </c>
      <c r="FY16" s="13" t="s">
        <v>30</v>
      </c>
      <c r="FZ16" s="14">
        <v>593126.1</v>
      </c>
      <c r="GA16" s="13" t="s">
        <v>30</v>
      </c>
      <c r="GB16" s="14">
        <v>604208.9</v>
      </c>
      <c r="GC16" s="13" t="s">
        <v>30</v>
      </c>
      <c r="GD16" s="14">
        <v>584910.80000000005</v>
      </c>
      <c r="GE16" s="13" t="s">
        <v>30</v>
      </c>
      <c r="GF16" s="14">
        <v>587158.4</v>
      </c>
      <c r="GG16" s="13" t="s">
        <v>30</v>
      </c>
      <c r="GH16" s="14">
        <v>604828.9</v>
      </c>
      <c r="GI16" s="13" t="s">
        <v>30</v>
      </c>
      <c r="GJ16" s="14">
        <v>614516.69999999995</v>
      </c>
      <c r="GK16" s="13" t="s">
        <v>30</v>
      </c>
      <c r="GL16" s="15">
        <v>592041</v>
      </c>
      <c r="GM16" s="13" t="s">
        <v>30</v>
      </c>
      <c r="GN16" s="14">
        <v>598163.69999999995</v>
      </c>
      <c r="GO16" s="13" t="s">
        <v>30</v>
      </c>
      <c r="GP16" s="14">
        <v>618081.80000000005</v>
      </c>
      <c r="GQ16" s="13" t="s">
        <v>30</v>
      </c>
      <c r="GR16" s="14">
        <v>629009.69999999995</v>
      </c>
      <c r="GS16" s="13" t="s">
        <v>30</v>
      </c>
      <c r="GT16" s="14">
        <v>617849.30000000005</v>
      </c>
      <c r="GU16" s="13" t="s">
        <v>30</v>
      </c>
      <c r="GV16" s="14">
        <v>620949.4</v>
      </c>
      <c r="GW16" s="13" t="s">
        <v>30</v>
      </c>
      <c r="GX16" s="14">
        <v>635054.9</v>
      </c>
      <c r="GY16" s="13" t="s">
        <v>30</v>
      </c>
      <c r="GZ16" s="15">
        <v>639240</v>
      </c>
      <c r="HA16" s="13" t="s">
        <v>30</v>
      </c>
      <c r="HB16" s="14">
        <v>634124.80000000005</v>
      </c>
      <c r="HC16" s="13" t="s">
        <v>30</v>
      </c>
      <c r="HD16" s="14">
        <v>632032.30000000005</v>
      </c>
      <c r="HE16" s="13" t="s">
        <v>30</v>
      </c>
      <c r="HF16" s="14">
        <v>645672.69999999995</v>
      </c>
      <c r="HG16" s="13" t="s">
        <v>30</v>
      </c>
      <c r="HH16" s="14">
        <v>650477.9</v>
      </c>
      <c r="HI16" s="13" t="s">
        <v>30</v>
      </c>
      <c r="HJ16" s="15">
        <v>623817</v>
      </c>
      <c r="HK16" s="13" t="s">
        <v>30</v>
      </c>
      <c r="HL16" s="14">
        <v>635829.9</v>
      </c>
      <c r="HM16" s="13" t="s">
        <v>30</v>
      </c>
      <c r="HN16" s="14">
        <v>651175.4</v>
      </c>
      <c r="HO16" s="13" t="s">
        <v>30</v>
      </c>
      <c r="HP16" s="14">
        <v>652880.4</v>
      </c>
      <c r="HQ16" s="13" t="s">
        <v>30</v>
      </c>
      <c r="HR16" s="14">
        <v>621414.40000000002</v>
      </c>
      <c r="HS16" s="13" t="s">
        <v>30</v>
      </c>
      <c r="HT16" s="14">
        <v>626917.1</v>
      </c>
      <c r="HU16" s="13" t="s">
        <v>30</v>
      </c>
      <c r="HV16" s="14">
        <v>649857.80000000005</v>
      </c>
      <c r="HW16" s="13" t="s">
        <v>30</v>
      </c>
      <c r="HX16" s="14">
        <v>651795.4</v>
      </c>
      <c r="HY16" s="13" t="s">
        <v>30</v>
      </c>
      <c r="HZ16" s="14">
        <v>632807.30000000005</v>
      </c>
      <c r="IA16" s="13" t="s">
        <v>30</v>
      </c>
      <c r="IB16" s="14">
        <v>644510.19999999995</v>
      </c>
      <c r="IC16" s="13" t="s">
        <v>30</v>
      </c>
      <c r="ID16" s="14">
        <v>652802.9</v>
      </c>
      <c r="IE16" s="13" t="s">
        <v>30</v>
      </c>
      <c r="IF16" s="14">
        <v>660010.69999999995</v>
      </c>
      <c r="IG16" s="13" t="s">
        <v>30</v>
      </c>
      <c r="IH16" s="14">
        <v>631644.80000000005</v>
      </c>
      <c r="II16" s="13" t="s">
        <v>30</v>
      </c>
      <c r="IJ16" s="14">
        <v>652105.4</v>
      </c>
      <c r="IK16" s="13" t="s">
        <v>30</v>
      </c>
      <c r="IL16" s="14">
        <v>660243.19999999995</v>
      </c>
      <c r="IM16" s="13" t="s">
        <v>30</v>
      </c>
      <c r="IN16" s="14">
        <v>668923.4</v>
      </c>
      <c r="IO16" s="13" t="s">
        <v>30</v>
      </c>
      <c r="IP16" s="14">
        <v>658693.1</v>
      </c>
      <c r="IQ16" s="13" t="s">
        <v>30</v>
      </c>
      <c r="IR16" s="15">
        <v>669931</v>
      </c>
      <c r="IS16" s="13" t="s">
        <v>30</v>
      </c>
      <c r="IT16" s="15">
        <v>685664</v>
      </c>
      <c r="IU16" s="13" t="s">
        <v>30</v>
      </c>
      <c r="IV16" s="15">
        <v>701862</v>
      </c>
      <c r="IW16" s="13" t="s">
        <v>30</v>
      </c>
      <c r="IX16" s="14">
        <v>687136.5</v>
      </c>
      <c r="IY16" s="13" t="s">
        <v>30</v>
      </c>
      <c r="IZ16" s="14">
        <v>693646.7</v>
      </c>
      <c r="JA16" s="13" t="s">
        <v>30</v>
      </c>
      <c r="JB16" s="14">
        <v>706512.1</v>
      </c>
      <c r="JC16" s="13" t="s">
        <v>30</v>
      </c>
      <c r="JD16" s="15">
        <v>719765</v>
      </c>
      <c r="JE16" s="13" t="s">
        <v>30</v>
      </c>
      <c r="JF16" s="14">
        <v>701164.4</v>
      </c>
      <c r="JG16" s="13" t="s">
        <v>30</v>
      </c>
      <c r="JH16" s="14">
        <v>715347.4</v>
      </c>
      <c r="JI16" s="13" t="s">
        <v>30</v>
      </c>
      <c r="JJ16" s="14">
        <v>713719.8</v>
      </c>
      <c r="JK16" s="13" t="s">
        <v>30</v>
      </c>
      <c r="JL16" s="15">
        <v>703722</v>
      </c>
      <c r="JM16" s="13" t="s">
        <v>30</v>
      </c>
      <c r="JN16" s="14">
        <v>650167.80000000005</v>
      </c>
      <c r="JO16" s="13" t="s">
        <v>30</v>
      </c>
      <c r="JP16" s="14">
        <v>653035.4</v>
      </c>
      <c r="JQ16" s="13" t="s">
        <v>30</v>
      </c>
      <c r="JR16" s="15">
        <v>670551</v>
      </c>
      <c r="JS16" s="13" t="s">
        <v>30</v>
      </c>
      <c r="JT16" s="14">
        <v>683881.4</v>
      </c>
      <c r="JU16" s="13" t="s">
        <v>30</v>
      </c>
      <c r="JV16" s="14">
        <v>672333.5</v>
      </c>
      <c r="JW16" s="13" t="s">
        <v>30</v>
      </c>
      <c r="JX16" s="14">
        <v>686671.5</v>
      </c>
      <c r="JY16" s="13" t="s">
        <v>30</v>
      </c>
      <c r="JZ16" s="15">
        <v>703567</v>
      </c>
      <c r="KA16" s="13" t="s">
        <v>30</v>
      </c>
      <c r="KB16" s="14">
        <v>717129.9</v>
      </c>
      <c r="KC16" s="13" t="s">
        <v>30</v>
      </c>
      <c r="KD16" s="14">
        <v>710542.2</v>
      </c>
      <c r="KE16" s="13" t="s">
        <v>30</v>
      </c>
      <c r="KF16" s="14">
        <v>713564.8</v>
      </c>
      <c r="KG16" s="13" t="s">
        <v>30</v>
      </c>
      <c r="KH16" s="14">
        <v>727282.8</v>
      </c>
      <c r="KI16" s="13" t="s">
        <v>30</v>
      </c>
      <c r="KJ16" s="14">
        <v>732552.9</v>
      </c>
      <c r="KK16" s="13" t="s">
        <v>30</v>
      </c>
      <c r="KL16" s="14">
        <v>723097.59999999998</v>
      </c>
      <c r="KM16" s="13" t="s">
        <v>30</v>
      </c>
      <c r="KN16" s="14">
        <v>716432.4</v>
      </c>
      <c r="KO16" s="13" t="s">
        <v>30</v>
      </c>
      <c r="KP16" s="14">
        <v>727127.8</v>
      </c>
      <c r="KQ16" s="13" t="s">
        <v>30</v>
      </c>
      <c r="KR16" s="14">
        <v>731855.4</v>
      </c>
      <c r="KS16" s="13" t="s">
        <v>30</v>
      </c>
      <c r="KT16" s="14">
        <v>711084.8</v>
      </c>
      <c r="KU16" s="13" t="s">
        <v>30</v>
      </c>
      <c r="KV16" s="14">
        <v>722477.6</v>
      </c>
      <c r="KW16" s="13" t="s">
        <v>30</v>
      </c>
      <c r="KX16" s="15">
        <v>736428</v>
      </c>
      <c r="KY16" s="13" t="s">
        <v>30</v>
      </c>
      <c r="KZ16" s="14">
        <v>742008.2</v>
      </c>
      <c r="LA16" s="13" t="s">
        <v>30</v>
      </c>
      <c r="LB16" s="14">
        <v>735730.5</v>
      </c>
      <c r="LC16" s="13" t="s">
        <v>30</v>
      </c>
      <c r="LD16" s="14">
        <v>731932.9</v>
      </c>
      <c r="LE16" s="13" t="s">
        <v>30</v>
      </c>
      <c r="LF16" s="15">
        <v>750301</v>
      </c>
      <c r="LG16" s="13" t="s">
        <v>30</v>
      </c>
      <c r="LH16" s="14">
        <v>759368.8</v>
      </c>
      <c r="LI16" s="13" t="s">
        <v>30</v>
      </c>
      <c r="LJ16" s="14">
        <v>741930.7</v>
      </c>
      <c r="LK16" s="13" t="s">
        <v>30</v>
      </c>
      <c r="LL16" s="14">
        <v>744023.3</v>
      </c>
      <c r="LM16" s="13" t="s">
        <v>30</v>
      </c>
      <c r="LN16" s="14">
        <v>761073.8</v>
      </c>
      <c r="LO16" s="13" t="s">
        <v>30</v>
      </c>
      <c r="LP16" s="14">
        <v>773241.7</v>
      </c>
      <c r="LQ16" s="13" t="s">
        <v>30</v>
      </c>
      <c r="LR16" s="14">
        <v>757431.2</v>
      </c>
      <c r="LS16" s="13" t="s">
        <v>30</v>
      </c>
      <c r="LT16" s="14">
        <v>771691.7</v>
      </c>
      <c r="LU16" s="13" t="s">
        <v>30</v>
      </c>
      <c r="LV16" s="14">
        <v>774946.8</v>
      </c>
      <c r="LW16" s="13" t="s">
        <v>30</v>
      </c>
      <c r="LX16" s="14">
        <v>785642.1</v>
      </c>
      <c r="LY16" s="13" t="s">
        <v>30</v>
      </c>
      <c r="LZ16" s="14">
        <v>785564.6</v>
      </c>
      <c r="MA16" s="13" t="s">
        <v>30</v>
      </c>
      <c r="MB16" s="15">
        <v>781922</v>
      </c>
      <c r="MC16" s="13" t="s">
        <v>30</v>
      </c>
      <c r="MD16" s="14">
        <v>799127.5</v>
      </c>
      <c r="ME16" s="13" t="s">
        <v>30</v>
      </c>
      <c r="MF16" s="14">
        <v>812845.4</v>
      </c>
      <c r="MG16" s="13" t="s">
        <v>30</v>
      </c>
      <c r="MH16" s="14">
        <v>799282.5</v>
      </c>
      <c r="MI16" s="13" t="s">
        <v>30</v>
      </c>
      <c r="MJ16" s="15">
        <v>799980</v>
      </c>
      <c r="MK16" s="13" t="s">
        <v>30</v>
      </c>
      <c r="ML16" s="14">
        <v>801685.1</v>
      </c>
      <c r="MM16" s="13" t="s">
        <v>30</v>
      </c>
      <c r="MN16" s="14">
        <v>817185.6</v>
      </c>
      <c r="MO16" s="13" t="s">
        <v>30</v>
      </c>
      <c r="MP16" s="14">
        <v>806722.7</v>
      </c>
      <c r="MQ16" s="13" t="s">
        <v>30</v>
      </c>
      <c r="MR16" s="15">
        <v>798740</v>
      </c>
      <c r="MS16" s="13" t="s">
        <v>30</v>
      </c>
      <c r="MT16" s="14">
        <v>815635.5</v>
      </c>
      <c r="MU16" s="13" t="s">
        <v>30</v>
      </c>
      <c r="MV16" s="14">
        <v>818968.1</v>
      </c>
      <c r="MW16" s="13" t="s">
        <v>30</v>
      </c>
      <c r="MX16" s="15">
        <v>797655</v>
      </c>
      <c r="MY16" s="13" t="s">
        <v>30</v>
      </c>
      <c r="MZ16" s="14">
        <v>709767.2</v>
      </c>
      <c r="NA16" s="13" t="s">
        <v>30</v>
      </c>
      <c r="NB16" s="14">
        <v>786572.1</v>
      </c>
      <c r="NC16" s="13" t="s">
        <v>30</v>
      </c>
      <c r="ND16" s="14">
        <v>806102.7</v>
      </c>
      <c r="NE16" s="13" t="s">
        <v>30</v>
      </c>
      <c r="NF16" s="14">
        <v>785642.1</v>
      </c>
      <c r="NG16" s="13" t="s">
        <v>30</v>
      </c>
      <c r="NH16" s="14">
        <v>792927.3</v>
      </c>
      <c r="NI16" s="13" t="s">
        <v>30</v>
      </c>
      <c r="NJ16" s="14">
        <v>815480.5</v>
      </c>
      <c r="NK16" s="13" t="s">
        <v>30</v>
      </c>
      <c r="NL16" s="14">
        <v>832143.5</v>
      </c>
      <c r="NM16" s="13" t="s">
        <v>30</v>
      </c>
      <c r="NN16" s="14">
        <v>822688.2</v>
      </c>
      <c r="NO16" s="13" t="s">
        <v>237</v>
      </c>
      <c r="NP16" s="14">
        <v>810365.4</v>
      </c>
      <c r="NQ16" s="13" t="s">
        <v>237</v>
      </c>
      <c r="NR16" s="14">
        <v>827338.4</v>
      </c>
      <c r="NS16" s="13" t="s">
        <v>237</v>
      </c>
      <c r="NT16" s="14">
        <v>835553.6</v>
      </c>
      <c r="NU16" s="13" t="s">
        <v>237</v>
      </c>
      <c r="NV16" s="14">
        <v>826563.4</v>
      </c>
      <c r="NW16" s="13" t="s">
        <v>237</v>
      </c>
      <c r="NX16" s="14">
        <v>801917.6</v>
      </c>
      <c r="NY16" s="13" t="s">
        <v>237</v>
      </c>
      <c r="NZ16" s="14">
        <v>815790.5</v>
      </c>
      <c r="OA16" s="13" t="s">
        <v>237</v>
      </c>
      <c r="OB16" s="14">
        <v>834158.6</v>
      </c>
      <c r="OC16" s="13" t="s">
        <v>237</v>
      </c>
      <c r="OD16" s="14">
        <v>818038.1</v>
      </c>
      <c r="OE16" s="13" t="s">
        <v>237</v>
      </c>
      <c r="OF16" s="14">
        <v>806025.2</v>
      </c>
      <c r="OG16" s="13" t="s">
        <v>237</v>
      </c>
      <c r="OH16" s="14">
        <v>815945.5</v>
      </c>
      <c r="OI16" s="13" t="s">
        <v>237</v>
      </c>
      <c r="OJ16" s="14">
        <v>819510.6</v>
      </c>
      <c r="OK16" s="13" t="s">
        <v>237</v>
      </c>
      <c r="OL16" s="15">
        <v>813388</v>
      </c>
      <c r="OM16" s="13" t="s">
        <v>237</v>
      </c>
      <c r="ON16" s="15">
        <v>800290</v>
      </c>
      <c r="OO16" s="13" t="s">
        <v>237</v>
      </c>
      <c r="OP16" s="13" t="s">
        <v>235</v>
      </c>
      <c r="OQ16" s="13" t="s">
        <v>30</v>
      </c>
    </row>
    <row r="17" spans="1:407" x14ac:dyDescent="0.3">
      <c r="A17" s="12" t="s">
        <v>242</v>
      </c>
      <c r="B17" s="16" t="s">
        <v>235</v>
      </c>
      <c r="C17" s="16" t="s">
        <v>30</v>
      </c>
      <c r="D17" s="16" t="s">
        <v>235</v>
      </c>
      <c r="E17" s="16" t="s">
        <v>30</v>
      </c>
      <c r="F17" s="16" t="s">
        <v>235</v>
      </c>
      <c r="G17" s="16" t="s">
        <v>30</v>
      </c>
      <c r="H17" s="16" t="s">
        <v>235</v>
      </c>
      <c r="I17" s="16" t="s">
        <v>30</v>
      </c>
      <c r="J17" s="16" t="s">
        <v>235</v>
      </c>
      <c r="K17" s="16" t="s">
        <v>30</v>
      </c>
      <c r="L17" s="16" t="s">
        <v>235</v>
      </c>
      <c r="M17" s="16" t="s">
        <v>30</v>
      </c>
      <c r="N17" s="16" t="s">
        <v>235</v>
      </c>
      <c r="O17" s="16" t="s">
        <v>30</v>
      </c>
      <c r="P17" s="16" t="s">
        <v>235</v>
      </c>
      <c r="Q17" s="16" t="s">
        <v>30</v>
      </c>
      <c r="R17" s="16" t="s">
        <v>235</v>
      </c>
      <c r="S17" s="16" t="s">
        <v>30</v>
      </c>
      <c r="T17" s="16" t="s">
        <v>235</v>
      </c>
      <c r="U17" s="16" t="s">
        <v>30</v>
      </c>
      <c r="V17" s="16" t="s">
        <v>235</v>
      </c>
      <c r="W17" s="16" t="s">
        <v>30</v>
      </c>
      <c r="X17" s="16" t="s">
        <v>235</v>
      </c>
      <c r="Y17" s="16" t="s">
        <v>30</v>
      </c>
      <c r="Z17" s="16" t="s">
        <v>235</v>
      </c>
      <c r="AA17" s="16" t="s">
        <v>30</v>
      </c>
      <c r="AB17" s="16" t="s">
        <v>235</v>
      </c>
      <c r="AC17" s="16" t="s">
        <v>30</v>
      </c>
      <c r="AD17" s="16" t="s">
        <v>235</v>
      </c>
      <c r="AE17" s="16" t="s">
        <v>30</v>
      </c>
      <c r="AF17" s="16" t="s">
        <v>235</v>
      </c>
      <c r="AG17" s="16" t="s">
        <v>30</v>
      </c>
      <c r="AH17" s="16" t="s">
        <v>235</v>
      </c>
      <c r="AI17" s="16" t="s">
        <v>30</v>
      </c>
      <c r="AJ17" s="16" t="s">
        <v>235</v>
      </c>
      <c r="AK17" s="16" t="s">
        <v>30</v>
      </c>
      <c r="AL17" s="16" t="s">
        <v>235</v>
      </c>
      <c r="AM17" s="16" t="s">
        <v>30</v>
      </c>
      <c r="AN17" s="16" t="s">
        <v>235</v>
      </c>
      <c r="AO17" s="16" t="s">
        <v>30</v>
      </c>
      <c r="AP17" s="16" t="s">
        <v>235</v>
      </c>
      <c r="AQ17" s="16" t="s">
        <v>30</v>
      </c>
      <c r="AR17" s="16" t="s">
        <v>235</v>
      </c>
      <c r="AS17" s="16" t="s">
        <v>30</v>
      </c>
      <c r="AT17" s="16" t="s">
        <v>235</v>
      </c>
      <c r="AU17" s="16" t="s">
        <v>30</v>
      </c>
      <c r="AV17" s="16" t="s">
        <v>235</v>
      </c>
      <c r="AW17" s="16" t="s">
        <v>30</v>
      </c>
      <c r="AX17" s="16" t="s">
        <v>235</v>
      </c>
      <c r="AY17" s="16" t="s">
        <v>30</v>
      </c>
      <c r="AZ17" s="16" t="s">
        <v>235</v>
      </c>
      <c r="BA17" s="16" t="s">
        <v>30</v>
      </c>
      <c r="BB17" s="16" t="s">
        <v>235</v>
      </c>
      <c r="BC17" s="16" t="s">
        <v>30</v>
      </c>
      <c r="BD17" s="16" t="s">
        <v>235</v>
      </c>
      <c r="BE17" s="16" t="s">
        <v>30</v>
      </c>
      <c r="BF17" s="16" t="s">
        <v>235</v>
      </c>
      <c r="BG17" s="16" t="s">
        <v>30</v>
      </c>
      <c r="BH17" s="16" t="s">
        <v>235</v>
      </c>
      <c r="BI17" s="16" t="s">
        <v>30</v>
      </c>
      <c r="BJ17" s="16" t="s">
        <v>235</v>
      </c>
      <c r="BK17" s="16" t="s">
        <v>30</v>
      </c>
      <c r="BL17" s="16" t="s">
        <v>235</v>
      </c>
      <c r="BM17" s="16" t="s">
        <v>30</v>
      </c>
      <c r="BN17" s="16" t="s">
        <v>235</v>
      </c>
      <c r="BO17" s="16" t="s">
        <v>30</v>
      </c>
      <c r="BP17" s="16" t="s">
        <v>235</v>
      </c>
      <c r="BQ17" s="16" t="s">
        <v>30</v>
      </c>
      <c r="BR17" s="16" t="s">
        <v>235</v>
      </c>
      <c r="BS17" s="16" t="s">
        <v>30</v>
      </c>
      <c r="BT17" s="16" t="s">
        <v>235</v>
      </c>
      <c r="BU17" s="16" t="s">
        <v>30</v>
      </c>
      <c r="BV17" s="16" t="s">
        <v>235</v>
      </c>
      <c r="BW17" s="16" t="s">
        <v>30</v>
      </c>
      <c r="BX17" s="16" t="s">
        <v>235</v>
      </c>
      <c r="BY17" s="16" t="s">
        <v>30</v>
      </c>
      <c r="BZ17" s="16" t="s">
        <v>235</v>
      </c>
      <c r="CA17" s="16" t="s">
        <v>30</v>
      </c>
      <c r="CB17" s="16" t="s">
        <v>235</v>
      </c>
      <c r="CC17" s="16" t="s">
        <v>30</v>
      </c>
      <c r="CD17" s="16" t="s">
        <v>235</v>
      </c>
      <c r="CE17" s="16" t="s">
        <v>30</v>
      </c>
      <c r="CF17" s="16" t="s">
        <v>235</v>
      </c>
      <c r="CG17" s="16" t="s">
        <v>30</v>
      </c>
      <c r="CH17" s="16" t="s">
        <v>235</v>
      </c>
      <c r="CI17" s="16" t="s">
        <v>30</v>
      </c>
      <c r="CJ17" s="16" t="s">
        <v>235</v>
      </c>
      <c r="CK17" s="16" t="s">
        <v>30</v>
      </c>
      <c r="CL17" s="16" t="s">
        <v>235</v>
      </c>
      <c r="CM17" s="16" t="s">
        <v>30</v>
      </c>
      <c r="CN17" s="16" t="s">
        <v>235</v>
      </c>
      <c r="CO17" s="16" t="s">
        <v>30</v>
      </c>
      <c r="CP17" s="16" t="s">
        <v>235</v>
      </c>
      <c r="CQ17" s="16" t="s">
        <v>30</v>
      </c>
      <c r="CR17" s="16" t="s">
        <v>235</v>
      </c>
      <c r="CS17" s="16" t="s">
        <v>30</v>
      </c>
      <c r="CT17" s="16" t="s">
        <v>235</v>
      </c>
      <c r="CU17" s="16" t="s">
        <v>30</v>
      </c>
      <c r="CV17" s="16" t="s">
        <v>235</v>
      </c>
      <c r="CW17" s="16" t="s">
        <v>30</v>
      </c>
      <c r="CX17" s="16" t="s">
        <v>235</v>
      </c>
      <c r="CY17" s="16" t="s">
        <v>30</v>
      </c>
      <c r="CZ17" s="16" t="s">
        <v>235</v>
      </c>
      <c r="DA17" s="16" t="s">
        <v>30</v>
      </c>
      <c r="DB17" s="16" t="s">
        <v>235</v>
      </c>
      <c r="DC17" s="16" t="s">
        <v>30</v>
      </c>
      <c r="DD17" s="16" t="s">
        <v>235</v>
      </c>
      <c r="DE17" s="16" t="s">
        <v>30</v>
      </c>
      <c r="DF17" s="16" t="s">
        <v>235</v>
      </c>
      <c r="DG17" s="16" t="s">
        <v>30</v>
      </c>
      <c r="DH17" s="16" t="s">
        <v>235</v>
      </c>
      <c r="DI17" s="16" t="s">
        <v>30</v>
      </c>
      <c r="DJ17" s="16" t="s">
        <v>235</v>
      </c>
      <c r="DK17" s="16" t="s">
        <v>30</v>
      </c>
      <c r="DL17" s="16" t="s">
        <v>235</v>
      </c>
      <c r="DM17" s="16" t="s">
        <v>30</v>
      </c>
      <c r="DN17" s="16" t="s">
        <v>235</v>
      </c>
      <c r="DO17" s="16" t="s">
        <v>30</v>
      </c>
      <c r="DP17" s="16" t="s">
        <v>235</v>
      </c>
      <c r="DQ17" s="16" t="s">
        <v>30</v>
      </c>
      <c r="DR17" s="16" t="s">
        <v>235</v>
      </c>
      <c r="DS17" s="16" t="s">
        <v>30</v>
      </c>
      <c r="DT17" s="16" t="s">
        <v>235</v>
      </c>
      <c r="DU17" s="16" t="s">
        <v>30</v>
      </c>
      <c r="DV17" s="16" t="s">
        <v>235</v>
      </c>
      <c r="DW17" s="16" t="s">
        <v>30</v>
      </c>
      <c r="DX17" s="16" t="s">
        <v>235</v>
      </c>
      <c r="DY17" s="16" t="s">
        <v>30</v>
      </c>
      <c r="DZ17" s="16" t="s">
        <v>235</v>
      </c>
      <c r="EA17" s="16" t="s">
        <v>30</v>
      </c>
      <c r="EB17" s="16" t="s">
        <v>235</v>
      </c>
      <c r="EC17" s="16" t="s">
        <v>30</v>
      </c>
      <c r="ED17" s="16" t="s">
        <v>235</v>
      </c>
      <c r="EE17" s="16" t="s">
        <v>30</v>
      </c>
      <c r="EF17" s="16" t="s">
        <v>235</v>
      </c>
      <c r="EG17" s="16" t="s">
        <v>30</v>
      </c>
      <c r="EH17" s="16" t="s">
        <v>235</v>
      </c>
      <c r="EI17" s="16" t="s">
        <v>30</v>
      </c>
      <c r="EJ17" s="16" t="s">
        <v>235</v>
      </c>
      <c r="EK17" s="16" t="s">
        <v>30</v>
      </c>
      <c r="EL17" s="16" t="s">
        <v>235</v>
      </c>
      <c r="EM17" s="16" t="s">
        <v>30</v>
      </c>
      <c r="EN17" s="16" t="s">
        <v>235</v>
      </c>
      <c r="EO17" s="16" t="s">
        <v>30</v>
      </c>
      <c r="EP17" s="16" t="s">
        <v>235</v>
      </c>
      <c r="EQ17" s="16" t="s">
        <v>30</v>
      </c>
      <c r="ER17" s="16" t="s">
        <v>235</v>
      </c>
      <c r="ES17" s="16" t="s">
        <v>30</v>
      </c>
      <c r="ET17" s="16" t="s">
        <v>235</v>
      </c>
      <c r="EU17" s="16" t="s">
        <v>30</v>
      </c>
      <c r="EV17" s="16" t="s">
        <v>235</v>
      </c>
      <c r="EW17" s="16" t="s">
        <v>30</v>
      </c>
      <c r="EX17" s="16" t="s">
        <v>235</v>
      </c>
      <c r="EY17" s="16" t="s">
        <v>30</v>
      </c>
      <c r="EZ17" s="16" t="s">
        <v>235</v>
      </c>
      <c r="FA17" s="16" t="s">
        <v>30</v>
      </c>
      <c r="FB17" s="16" t="s">
        <v>235</v>
      </c>
      <c r="FC17" s="16" t="s">
        <v>30</v>
      </c>
      <c r="FD17" s="16" t="s">
        <v>235</v>
      </c>
      <c r="FE17" s="16" t="s">
        <v>30</v>
      </c>
      <c r="FF17" s="17">
        <v>2159.1</v>
      </c>
      <c r="FG17" s="16" t="s">
        <v>30</v>
      </c>
      <c r="FH17" s="18">
        <v>2406</v>
      </c>
      <c r="FI17" s="16" t="s">
        <v>30</v>
      </c>
      <c r="FJ17" s="17">
        <v>2340.6</v>
      </c>
      <c r="FK17" s="16" t="s">
        <v>30</v>
      </c>
      <c r="FL17" s="17">
        <v>2454.4</v>
      </c>
      <c r="FM17" s="16" t="s">
        <v>30</v>
      </c>
      <c r="FN17" s="17">
        <v>2238.8000000000002</v>
      </c>
      <c r="FO17" s="16" t="s">
        <v>30</v>
      </c>
      <c r="FP17" s="17">
        <v>2498.6999999999998</v>
      </c>
      <c r="FQ17" s="16" t="s">
        <v>30</v>
      </c>
      <c r="FR17" s="17">
        <v>2470.9</v>
      </c>
      <c r="FS17" s="16" t="s">
        <v>30</v>
      </c>
      <c r="FT17" s="17">
        <v>2611.5</v>
      </c>
      <c r="FU17" s="16" t="s">
        <v>30</v>
      </c>
      <c r="FV17" s="17">
        <v>2438.6999999999998</v>
      </c>
      <c r="FW17" s="16" t="s">
        <v>30</v>
      </c>
      <c r="FX17" s="17">
        <v>2808.3</v>
      </c>
      <c r="FY17" s="16" t="s">
        <v>30</v>
      </c>
      <c r="FZ17" s="17">
        <v>2786.3</v>
      </c>
      <c r="GA17" s="16" t="s">
        <v>30</v>
      </c>
      <c r="GB17" s="17">
        <v>2964.2</v>
      </c>
      <c r="GC17" s="16" t="s">
        <v>30</v>
      </c>
      <c r="GD17" s="17">
        <v>2758.4</v>
      </c>
      <c r="GE17" s="16" t="s">
        <v>30</v>
      </c>
      <c r="GF17" s="17">
        <v>3033.2</v>
      </c>
      <c r="GG17" s="16" t="s">
        <v>30</v>
      </c>
      <c r="GH17" s="17">
        <v>2941.1</v>
      </c>
      <c r="GI17" s="16" t="s">
        <v>30</v>
      </c>
      <c r="GJ17" s="17">
        <v>2974.6</v>
      </c>
      <c r="GK17" s="16" t="s">
        <v>30</v>
      </c>
      <c r="GL17" s="18">
        <v>2753</v>
      </c>
      <c r="GM17" s="16" t="s">
        <v>30</v>
      </c>
      <c r="GN17" s="17">
        <v>3024.1</v>
      </c>
      <c r="GO17" s="16" t="s">
        <v>30</v>
      </c>
      <c r="GP17" s="17">
        <v>2879.2</v>
      </c>
      <c r="GQ17" s="16" t="s">
        <v>30</v>
      </c>
      <c r="GR17" s="17">
        <v>3058.8</v>
      </c>
      <c r="GS17" s="16" t="s">
        <v>30</v>
      </c>
      <c r="GT17" s="17">
        <v>2941.8</v>
      </c>
      <c r="GU17" s="16" t="s">
        <v>30</v>
      </c>
      <c r="GV17" s="17">
        <v>3338.9</v>
      </c>
      <c r="GW17" s="16" t="s">
        <v>30</v>
      </c>
      <c r="GX17" s="17">
        <v>3137.3</v>
      </c>
      <c r="GY17" s="16" t="s">
        <v>30</v>
      </c>
      <c r="GZ17" s="17">
        <v>3380.8</v>
      </c>
      <c r="HA17" s="16" t="s">
        <v>30</v>
      </c>
      <c r="HB17" s="17">
        <v>3134.6</v>
      </c>
      <c r="HC17" s="16" t="s">
        <v>30</v>
      </c>
      <c r="HD17" s="17">
        <v>3470.5</v>
      </c>
      <c r="HE17" s="16" t="s">
        <v>30</v>
      </c>
      <c r="HF17" s="17">
        <v>3347.5</v>
      </c>
      <c r="HG17" s="16" t="s">
        <v>30</v>
      </c>
      <c r="HH17" s="17">
        <v>3551.3</v>
      </c>
      <c r="HI17" s="16" t="s">
        <v>30</v>
      </c>
      <c r="HJ17" s="17">
        <v>3205.5</v>
      </c>
      <c r="HK17" s="16" t="s">
        <v>30</v>
      </c>
      <c r="HL17" s="17">
        <v>3743.7</v>
      </c>
      <c r="HM17" s="16" t="s">
        <v>30</v>
      </c>
      <c r="HN17" s="17">
        <v>3636.3</v>
      </c>
      <c r="HO17" s="16" t="s">
        <v>30</v>
      </c>
      <c r="HP17" s="17">
        <v>3810.3</v>
      </c>
      <c r="HQ17" s="16" t="s">
        <v>30</v>
      </c>
      <c r="HR17" s="17">
        <v>3532.5</v>
      </c>
      <c r="HS17" s="16" t="s">
        <v>30</v>
      </c>
      <c r="HT17" s="17">
        <v>3937.5</v>
      </c>
      <c r="HU17" s="16" t="s">
        <v>30</v>
      </c>
      <c r="HV17" s="17">
        <v>3865.5</v>
      </c>
      <c r="HW17" s="16" t="s">
        <v>30</v>
      </c>
      <c r="HX17" s="17">
        <v>4165.8999999999996</v>
      </c>
      <c r="HY17" s="16" t="s">
        <v>30</v>
      </c>
      <c r="HZ17" s="17">
        <v>3787.6</v>
      </c>
      <c r="IA17" s="16" t="s">
        <v>30</v>
      </c>
      <c r="IB17" s="17">
        <v>4186.3999999999996</v>
      </c>
      <c r="IC17" s="16" t="s">
        <v>30</v>
      </c>
      <c r="ID17" s="17">
        <v>4140.8</v>
      </c>
      <c r="IE17" s="16" t="s">
        <v>30</v>
      </c>
      <c r="IF17" s="17">
        <v>4356.5</v>
      </c>
      <c r="IG17" s="16" t="s">
        <v>30</v>
      </c>
      <c r="IH17" s="17">
        <v>4119.2</v>
      </c>
      <c r="II17" s="16" t="s">
        <v>30</v>
      </c>
      <c r="IJ17" s="18">
        <v>4536</v>
      </c>
      <c r="IK17" s="16" t="s">
        <v>30</v>
      </c>
      <c r="IL17" s="17">
        <v>4544.3999999999996</v>
      </c>
      <c r="IM17" s="16" t="s">
        <v>30</v>
      </c>
      <c r="IN17" s="17">
        <v>4842.6000000000004</v>
      </c>
      <c r="IO17" s="16" t="s">
        <v>30</v>
      </c>
      <c r="IP17" s="17">
        <v>4506.5</v>
      </c>
      <c r="IQ17" s="16" t="s">
        <v>30</v>
      </c>
      <c r="IR17" s="17">
        <v>4960.6000000000004</v>
      </c>
      <c r="IS17" s="16" t="s">
        <v>30</v>
      </c>
      <c r="IT17" s="17">
        <v>4972.8999999999996</v>
      </c>
      <c r="IU17" s="16" t="s">
        <v>30</v>
      </c>
      <c r="IV17" s="17">
        <v>5278.7</v>
      </c>
      <c r="IW17" s="16" t="s">
        <v>30</v>
      </c>
      <c r="IX17" s="17">
        <v>4901.3</v>
      </c>
      <c r="IY17" s="16" t="s">
        <v>30</v>
      </c>
      <c r="IZ17" s="17">
        <v>5423.2</v>
      </c>
      <c r="JA17" s="16" t="s">
        <v>30</v>
      </c>
      <c r="JB17" s="17">
        <v>5318.1</v>
      </c>
      <c r="JC17" s="16" t="s">
        <v>30</v>
      </c>
      <c r="JD17" s="17">
        <v>5461.7</v>
      </c>
      <c r="JE17" s="16" t="s">
        <v>30</v>
      </c>
      <c r="JF17" s="17">
        <v>4777.7</v>
      </c>
      <c r="JG17" s="16" t="s">
        <v>30</v>
      </c>
      <c r="JH17" s="17">
        <v>5387.3</v>
      </c>
      <c r="JI17" s="16" t="s">
        <v>30</v>
      </c>
      <c r="JJ17" s="17">
        <v>5314.5</v>
      </c>
      <c r="JK17" s="16" t="s">
        <v>30</v>
      </c>
      <c r="JL17" s="17">
        <v>4990.7</v>
      </c>
      <c r="JM17" s="16" t="s">
        <v>30</v>
      </c>
      <c r="JN17" s="17">
        <v>4207.5</v>
      </c>
      <c r="JO17" s="16" t="s">
        <v>30</v>
      </c>
      <c r="JP17" s="17">
        <v>4446.3999999999996</v>
      </c>
      <c r="JQ17" s="16" t="s">
        <v>30</v>
      </c>
      <c r="JR17" s="17">
        <v>4244.8</v>
      </c>
      <c r="JS17" s="16" t="s">
        <v>30</v>
      </c>
      <c r="JT17" s="17">
        <v>4446.2</v>
      </c>
      <c r="JU17" s="16" t="s">
        <v>30</v>
      </c>
      <c r="JV17" s="17">
        <v>4156.2</v>
      </c>
      <c r="JW17" s="16" t="s">
        <v>30</v>
      </c>
      <c r="JX17" s="18">
        <v>4582</v>
      </c>
      <c r="JY17" s="16" t="s">
        <v>30</v>
      </c>
      <c r="JZ17" s="17">
        <v>4499.3</v>
      </c>
      <c r="KA17" s="16" t="s">
        <v>30</v>
      </c>
      <c r="KB17" s="17">
        <v>4739.2</v>
      </c>
      <c r="KC17" s="16" t="s">
        <v>30</v>
      </c>
      <c r="KD17" s="17">
        <v>4565.1000000000004</v>
      </c>
      <c r="KE17" s="16" t="s">
        <v>30</v>
      </c>
      <c r="KF17" s="17">
        <v>4968.3</v>
      </c>
      <c r="KG17" s="16" t="s">
        <v>30</v>
      </c>
      <c r="KH17" s="18">
        <v>4910</v>
      </c>
      <c r="KI17" s="16" t="s">
        <v>30</v>
      </c>
      <c r="KJ17" s="17">
        <v>4955.8999999999996</v>
      </c>
      <c r="KK17" s="16" t="s">
        <v>30</v>
      </c>
      <c r="KL17" s="17">
        <v>4673.3</v>
      </c>
      <c r="KM17" s="16" t="s">
        <v>30</v>
      </c>
      <c r="KN17" s="17">
        <v>5115.3</v>
      </c>
      <c r="KO17" s="16" t="s">
        <v>30</v>
      </c>
      <c r="KP17" s="17">
        <v>5059.5</v>
      </c>
      <c r="KQ17" s="16" t="s">
        <v>30</v>
      </c>
      <c r="KR17" s="17">
        <v>5166.3</v>
      </c>
      <c r="KS17" s="16" t="s">
        <v>30</v>
      </c>
      <c r="KT17" s="17">
        <v>4906.8</v>
      </c>
      <c r="KU17" s="16" t="s">
        <v>30</v>
      </c>
      <c r="KV17" s="17">
        <v>5211.1000000000004</v>
      </c>
      <c r="KW17" s="16" t="s">
        <v>30</v>
      </c>
      <c r="KX17" s="18">
        <v>5127</v>
      </c>
      <c r="KY17" s="16" t="s">
        <v>30</v>
      </c>
      <c r="KZ17" s="17">
        <v>5118.8999999999996</v>
      </c>
      <c r="LA17" s="16" t="s">
        <v>30</v>
      </c>
      <c r="LB17" s="17">
        <v>4906.6000000000004</v>
      </c>
      <c r="LC17" s="16" t="s">
        <v>30</v>
      </c>
      <c r="LD17" s="17">
        <v>5333.7</v>
      </c>
      <c r="LE17" s="16" t="s">
        <v>30</v>
      </c>
      <c r="LF17" s="17">
        <v>5295.6</v>
      </c>
      <c r="LG17" s="16" t="s">
        <v>30</v>
      </c>
      <c r="LH17" s="17">
        <v>5477.5</v>
      </c>
      <c r="LI17" s="16" t="s">
        <v>30</v>
      </c>
      <c r="LJ17" s="17">
        <v>4931.3999999999996</v>
      </c>
      <c r="LK17" s="16" t="s">
        <v>30</v>
      </c>
      <c r="LL17" s="17">
        <v>5467.1</v>
      </c>
      <c r="LM17" s="16" t="s">
        <v>30</v>
      </c>
      <c r="LN17" s="17">
        <v>5426.8</v>
      </c>
      <c r="LO17" s="16" t="s">
        <v>30</v>
      </c>
      <c r="LP17" s="17">
        <v>5525.7</v>
      </c>
      <c r="LQ17" s="16" t="s">
        <v>30</v>
      </c>
      <c r="LR17" s="17">
        <v>5188.8999999999996</v>
      </c>
      <c r="LS17" s="16" t="s">
        <v>30</v>
      </c>
      <c r="LT17" s="17">
        <v>5556.7</v>
      </c>
      <c r="LU17" s="16" t="s">
        <v>30</v>
      </c>
      <c r="LV17" s="18">
        <v>5512</v>
      </c>
      <c r="LW17" s="16" t="s">
        <v>30</v>
      </c>
      <c r="LX17" s="17">
        <v>5693.4</v>
      </c>
      <c r="LY17" s="16" t="s">
        <v>30</v>
      </c>
      <c r="LZ17" s="17">
        <v>5467.3</v>
      </c>
      <c r="MA17" s="16" t="s">
        <v>30</v>
      </c>
      <c r="MB17" s="17">
        <v>5961.1</v>
      </c>
      <c r="MC17" s="16" t="s">
        <v>30</v>
      </c>
      <c r="MD17" s="17">
        <v>5800.9</v>
      </c>
      <c r="ME17" s="16" t="s">
        <v>30</v>
      </c>
      <c r="MF17" s="17">
        <v>6148.6</v>
      </c>
      <c r="MG17" s="16" t="s">
        <v>30</v>
      </c>
      <c r="MH17" s="17">
        <v>5646.2</v>
      </c>
      <c r="MI17" s="16" t="s">
        <v>30</v>
      </c>
      <c r="MJ17" s="17">
        <v>6147.9</v>
      </c>
      <c r="MK17" s="16" t="s">
        <v>30</v>
      </c>
      <c r="ML17" s="17">
        <v>6082.8</v>
      </c>
      <c r="MM17" s="16" t="s">
        <v>30</v>
      </c>
      <c r="MN17" s="17">
        <v>6458.3</v>
      </c>
      <c r="MO17" s="16" t="s">
        <v>30</v>
      </c>
      <c r="MP17" s="17">
        <v>5861.2</v>
      </c>
      <c r="MQ17" s="16" t="s">
        <v>30</v>
      </c>
      <c r="MR17" s="17">
        <v>6312.1</v>
      </c>
      <c r="MS17" s="16" t="s">
        <v>30</v>
      </c>
      <c r="MT17" s="18">
        <v>6341</v>
      </c>
      <c r="MU17" s="16" t="s">
        <v>30</v>
      </c>
      <c r="MV17" s="17">
        <v>6583.8</v>
      </c>
      <c r="MW17" s="16" t="s">
        <v>30</v>
      </c>
      <c r="MX17" s="17">
        <v>5950.7</v>
      </c>
      <c r="MY17" s="16" t="s">
        <v>30</v>
      </c>
      <c r="MZ17" s="18">
        <v>5780</v>
      </c>
      <c r="NA17" s="16" t="s">
        <v>30</v>
      </c>
      <c r="NB17" s="18">
        <v>6169</v>
      </c>
      <c r="NC17" s="16" t="s">
        <v>30</v>
      </c>
      <c r="ND17" s="17">
        <v>6520.2</v>
      </c>
      <c r="NE17" s="16" t="s">
        <v>30</v>
      </c>
      <c r="NF17" s="17">
        <v>6185.8</v>
      </c>
      <c r="NG17" s="16" t="s">
        <v>30</v>
      </c>
      <c r="NH17" s="17">
        <v>6562.4</v>
      </c>
      <c r="NI17" s="16" t="s">
        <v>30</v>
      </c>
      <c r="NJ17" s="17">
        <v>6613.4</v>
      </c>
      <c r="NK17" s="16" t="s">
        <v>30</v>
      </c>
      <c r="NL17" s="17">
        <v>6977.5</v>
      </c>
      <c r="NM17" s="16" t="s">
        <v>30</v>
      </c>
      <c r="NN17" s="17">
        <v>6372.4</v>
      </c>
      <c r="NO17" s="16" t="s">
        <v>30</v>
      </c>
      <c r="NP17" s="17">
        <v>6492.1</v>
      </c>
      <c r="NQ17" s="16" t="s">
        <v>30</v>
      </c>
      <c r="NR17" s="17">
        <v>6588.4</v>
      </c>
      <c r="NS17" s="16" t="s">
        <v>30</v>
      </c>
      <c r="NT17" s="17">
        <v>6685.8</v>
      </c>
      <c r="NU17" s="16" t="s">
        <v>30</v>
      </c>
      <c r="NV17" s="18">
        <v>6075</v>
      </c>
      <c r="NW17" s="16" t="s">
        <v>30</v>
      </c>
      <c r="NX17" s="17">
        <v>6325.8</v>
      </c>
      <c r="NY17" s="16" t="s">
        <v>30</v>
      </c>
      <c r="NZ17" s="17">
        <v>6397.8</v>
      </c>
      <c r="OA17" s="16" t="s">
        <v>30</v>
      </c>
      <c r="OB17" s="17">
        <v>6562.6</v>
      </c>
      <c r="OC17" s="16" t="s">
        <v>30</v>
      </c>
      <c r="OD17" s="17">
        <v>6000.7</v>
      </c>
      <c r="OE17" s="16" t="s">
        <v>30</v>
      </c>
      <c r="OF17" s="18">
        <v>6352</v>
      </c>
      <c r="OG17" s="16" t="s">
        <v>30</v>
      </c>
      <c r="OH17" s="17">
        <v>6315.6</v>
      </c>
      <c r="OI17" s="16" t="s">
        <v>30</v>
      </c>
      <c r="OJ17" s="18">
        <v>6484</v>
      </c>
      <c r="OK17" s="16" t="s">
        <v>30</v>
      </c>
      <c r="OL17" s="17">
        <v>5964.4</v>
      </c>
      <c r="OM17" s="16" t="s">
        <v>30</v>
      </c>
      <c r="ON17" s="17">
        <v>6371.1</v>
      </c>
      <c r="OO17" s="16" t="s">
        <v>30</v>
      </c>
      <c r="OP17" s="16" t="s">
        <v>235</v>
      </c>
      <c r="OQ17" s="16" t="s">
        <v>30</v>
      </c>
    </row>
    <row r="18" spans="1:407" x14ac:dyDescent="0.3">
      <c r="A18" s="12" t="s">
        <v>243</v>
      </c>
      <c r="B18" s="13" t="s">
        <v>235</v>
      </c>
      <c r="C18" s="13" t="s">
        <v>30</v>
      </c>
      <c r="D18" s="13" t="s">
        <v>235</v>
      </c>
      <c r="E18" s="13" t="s">
        <v>30</v>
      </c>
      <c r="F18" s="13" t="s">
        <v>235</v>
      </c>
      <c r="G18" s="13" t="s">
        <v>30</v>
      </c>
      <c r="H18" s="13" t="s">
        <v>235</v>
      </c>
      <c r="I18" s="13" t="s">
        <v>30</v>
      </c>
      <c r="J18" s="13" t="s">
        <v>235</v>
      </c>
      <c r="K18" s="13" t="s">
        <v>30</v>
      </c>
      <c r="L18" s="13" t="s">
        <v>235</v>
      </c>
      <c r="M18" s="13" t="s">
        <v>30</v>
      </c>
      <c r="N18" s="13" t="s">
        <v>235</v>
      </c>
      <c r="O18" s="13" t="s">
        <v>30</v>
      </c>
      <c r="P18" s="13" t="s">
        <v>235</v>
      </c>
      <c r="Q18" s="13" t="s">
        <v>30</v>
      </c>
      <c r="R18" s="13" t="s">
        <v>235</v>
      </c>
      <c r="S18" s="13" t="s">
        <v>30</v>
      </c>
      <c r="T18" s="13" t="s">
        <v>235</v>
      </c>
      <c r="U18" s="13" t="s">
        <v>30</v>
      </c>
      <c r="V18" s="13" t="s">
        <v>235</v>
      </c>
      <c r="W18" s="13" t="s">
        <v>30</v>
      </c>
      <c r="X18" s="13" t="s">
        <v>235</v>
      </c>
      <c r="Y18" s="13" t="s">
        <v>30</v>
      </c>
      <c r="Z18" s="13" t="s">
        <v>235</v>
      </c>
      <c r="AA18" s="13" t="s">
        <v>30</v>
      </c>
      <c r="AB18" s="13" t="s">
        <v>235</v>
      </c>
      <c r="AC18" s="13" t="s">
        <v>30</v>
      </c>
      <c r="AD18" s="13" t="s">
        <v>235</v>
      </c>
      <c r="AE18" s="13" t="s">
        <v>30</v>
      </c>
      <c r="AF18" s="13" t="s">
        <v>235</v>
      </c>
      <c r="AG18" s="13" t="s">
        <v>30</v>
      </c>
      <c r="AH18" s="13" t="s">
        <v>235</v>
      </c>
      <c r="AI18" s="13" t="s">
        <v>30</v>
      </c>
      <c r="AJ18" s="13" t="s">
        <v>235</v>
      </c>
      <c r="AK18" s="13" t="s">
        <v>30</v>
      </c>
      <c r="AL18" s="13" t="s">
        <v>235</v>
      </c>
      <c r="AM18" s="13" t="s">
        <v>30</v>
      </c>
      <c r="AN18" s="13" t="s">
        <v>235</v>
      </c>
      <c r="AO18" s="13" t="s">
        <v>30</v>
      </c>
      <c r="AP18" s="13" t="s">
        <v>235</v>
      </c>
      <c r="AQ18" s="13" t="s">
        <v>30</v>
      </c>
      <c r="AR18" s="13" t="s">
        <v>235</v>
      </c>
      <c r="AS18" s="13" t="s">
        <v>30</v>
      </c>
      <c r="AT18" s="13" t="s">
        <v>235</v>
      </c>
      <c r="AU18" s="13" t="s">
        <v>30</v>
      </c>
      <c r="AV18" s="13" t="s">
        <v>235</v>
      </c>
      <c r="AW18" s="13" t="s">
        <v>30</v>
      </c>
      <c r="AX18" s="13" t="s">
        <v>235</v>
      </c>
      <c r="AY18" s="13" t="s">
        <v>30</v>
      </c>
      <c r="AZ18" s="13" t="s">
        <v>235</v>
      </c>
      <c r="BA18" s="13" t="s">
        <v>30</v>
      </c>
      <c r="BB18" s="13" t="s">
        <v>235</v>
      </c>
      <c r="BC18" s="13" t="s">
        <v>30</v>
      </c>
      <c r="BD18" s="13" t="s">
        <v>235</v>
      </c>
      <c r="BE18" s="13" t="s">
        <v>30</v>
      </c>
      <c r="BF18" s="13" t="s">
        <v>235</v>
      </c>
      <c r="BG18" s="13" t="s">
        <v>30</v>
      </c>
      <c r="BH18" s="13" t="s">
        <v>235</v>
      </c>
      <c r="BI18" s="13" t="s">
        <v>30</v>
      </c>
      <c r="BJ18" s="13" t="s">
        <v>235</v>
      </c>
      <c r="BK18" s="13" t="s">
        <v>30</v>
      </c>
      <c r="BL18" s="13" t="s">
        <v>235</v>
      </c>
      <c r="BM18" s="13" t="s">
        <v>30</v>
      </c>
      <c r="BN18" s="13" t="s">
        <v>235</v>
      </c>
      <c r="BO18" s="13" t="s">
        <v>30</v>
      </c>
      <c r="BP18" s="13" t="s">
        <v>235</v>
      </c>
      <c r="BQ18" s="13" t="s">
        <v>30</v>
      </c>
      <c r="BR18" s="13" t="s">
        <v>235</v>
      </c>
      <c r="BS18" s="13" t="s">
        <v>30</v>
      </c>
      <c r="BT18" s="13" t="s">
        <v>235</v>
      </c>
      <c r="BU18" s="13" t="s">
        <v>30</v>
      </c>
      <c r="BV18" s="13" t="s">
        <v>235</v>
      </c>
      <c r="BW18" s="13" t="s">
        <v>30</v>
      </c>
      <c r="BX18" s="13" t="s">
        <v>235</v>
      </c>
      <c r="BY18" s="13" t="s">
        <v>30</v>
      </c>
      <c r="BZ18" s="13" t="s">
        <v>235</v>
      </c>
      <c r="CA18" s="13" t="s">
        <v>30</v>
      </c>
      <c r="CB18" s="13" t="s">
        <v>235</v>
      </c>
      <c r="CC18" s="13" t="s">
        <v>30</v>
      </c>
      <c r="CD18" s="13" t="s">
        <v>235</v>
      </c>
      <c r="CE18" s="13" t="s">
        <v>30</v>
      </c>
      <c r="CF18" s="13" t="s">
        <v>235</v>
      </c>
      <c r="CG18" s="13" t="s">
        <v>30</v>
      </c>
      <c r="CH18" s="13" t="s">
        <v>235</v>
      </c>
      <c r="CI18" s="13" t="s">
        <v>30</v>
      </c>
      <c r="CJ18" s="13" t="s">
        <v>235</v>
      </c>
      <c r="CK18" s="13" t="s">
        <v>30</v>
      </c>
      <c r="CL18" s="13" t="s">
        <v>235</v>
      </c>
      <c r="CM18" s="13" t="s">
        <v>30</v>
      </c>
      <c r="CN18" s="13" t="s">
        <v>235</v>
      </c>
      <c r="CO18" s="13" t="s">
        <v>30</v>
      </c>
      <c r="CP18" s="13" t="s">
        <v>235</v>
      </c>
      <c r="CQ18" s="13" t="s">
        <v>30</v>
      </c>
      <c r="CR18" s="13" t="s">
        <v>235</v>
      </c>
      <c r="CS18" s="13" t="s">
        <v>30</v>
      </c>
      <c r="CT18" s="13" t="s">
        <v>235</v>
      </c>
      <c r="CU18" s="13" t="s">
        <v>30</v>
      </c>
      <c r="CV18" s="13" t="s">
        <v>235</v>
      </c>
      <c r="CW18" s="13" t="s">
        <v>30</v>
      </c>
      <c r="CX18" s="13" t="s">
        <v>235</v>
      </c>
      <c r="CY18" s="13" t="s">
        <v>30</v>
      </c>
      <c r="CZ18" s="13" t="s">
        <v>235</v>
      </c>
      <c r="DA18" s="13" t="s">
        <v>30</v>
      </c>
      <c r="DB18" s="13" t="s">
        <v>235</v>
      </c>
      <c r="DC18" s="13" t="s">
        <v>30</v>
      </c>
      <c r="DD18" s="13" t="s">
        <v>235</v>
      </c>
      <c r="DE18" s="13" t="s">
        <v>30</v>
      </c>
      <c r="DF18" s="13" t="s">
        <v>235</v>
      </c>
      <c r="DG18" s="13" t="s">
        <v>30</v>
      </c>
      <c r="DH18" s="13" t="s">
        <v>235</v>
      </c>
      <c r="DI18" s="13" t="s">
        <v>30</v>
      </c>
      <c r="DJ18" s="13" t="s">
        <v>235</v>
      </c>
      <c r="DK18" s="13" t="s">
        <v>30</v>
      </c>
      <c r="DL18" s="13" t="s">
        <v>235</v>
      </c>
      <c r="DM18" s="13" t="s">
        <v>30</v>
      </c>
      <c r="DN18" s="13" t="s">
        <v>235</v>
      </c>
      <c r="DO18" s="13" t="s">
        <v>30</v>
      </c>
      <c r="DP18" s="13" t="s">
        <v>235</v>
      </c>
      <c r="DQ18" s="13" t="s">
        <v>30</v>
      </c>
      <c r="DR18" s="13" t="s">
        <v>235</v>
      </c>
      <c r="DS18" s="13" t="s">
        <v>30</v>
      </c>
      <c r="DT18" s="13" t="s">
        <v>235</v>
      </c>
      <c r="DU18" s="13" t="s">
        <v>30</v>
      </c>
      <c r="DV18" s="13" t="s">
        <v>235</v>
      </c>
      <c r="DW18" s="13" t="s">
        <v>30</v>
      </c>
      <c r="DX18" s="13" t="s">
        <v>235</v>
      </c>
      <c r="DY18" s="13" t="s">
        <v>30</v>
      </c>
      <c r="DZ18" s="13" t="s">
        <v>235</v>
      </c>
      <c r="EA18" s="13" t="s">
        <v>30</v>
      </c>
      <c r="EB18" s="13" t="s">
        <v>235</v>
      </c>
      <c r="EC18" s="13" t="s">
        <v>30</v>
      </c>
      <c r="ED18" s="13" t="s">
        <v>235</v>
      </c>
      <c r="EE18" s="13" t="s">
        <v>30</v>
      </c>
      <c r="EF18" s="13" t="s">
        <v>235</v>
      </c>
      <c r="EG18" s="13" t="s">
        <v>30</v>
      </c>
      <c r="EH18" s="13" t="s">
        <v>235</v>
      </c>
      <c r="EI18" s="13" t="s">
        <v>30</v>
      </c>
      <c r="EJ18" s="13" t="s">
        <v>235</v>
      </c>
      <c r="EK18" s="13" t="s">
        <v>30</v>
      </c>
      <c r="EL18" s="13" t="s">
        <v>235</v>
      </c>
      <c r="EM18" s="13" t="s">
        <v>30</v>
      </c>
      <c r="EN18" s="13" t="s">
        <v>235</v>
      </c>
      <c r="EO18" s="13" t="s">
        <v>30</v>
      </c>
      <c r="EP18" s="13" t="s">
        <v>235</v>
      </c>
      <c r="EQ18" s="13" t="s">
        <v>30</v>
      </c>
      <c r="ER18" s="13" t="s">
        <v>235</v>
      </c>
      <c r="ES18" s="13" t="s">
        <v>30</v>
      </c>
      <c r="ET18" s="13" t="s">
        <v>235</v>
      </c>
      <c r="EU18" s="13" t="s">
        <v>30</v>
      </c>
      <c r="EV18" s="13" t="s">
        <v>235</v>
      </c>
      <c r="EW18" s="13" t="s">
        <v>30</v>
      </c>
      <c r="EX18" s="13" t="s">
        <v>235</v>
      </c>
      <c r="EY18" s="13" t="s">
        <v>30</v>
      </c>
      <c r="EZ18" s="13" t="s">
        <v>235</v>
      </c>
      <c r="FA18" s="13" t="s">
        <v>30</v>
      </c>
      <c r="FB18" s="13" t="s">
        <v>235</v>
      </c>
      <c r="FC18" s="13" t="s">
        <v>30</v>
      </c>
      <c r="FD18" s="13" t="s">
        <v>235</v>
      </c>
      <c r="FE18" s="13" t="s">
        <v>30</v>
      </c>
      <c r="FF18" s="14">
        <v>24515.1</v>
      </c>
      <c r="FG18" s="13" t="s">
        <v>30</v>
      </c>
      <c r="FH18" s="14">
        <v>25897.200000000001</v>
      </c>
      <c r="FI18" s="13" t="s">
        <v>30</v>
      </c>
      <c r="FJ18" s="14">
        <v>24898.1</v>
      </c>
      <c r="FK18" s="13" t="s">
        <v>30</v>
      </c>
      <c r="FL18" s="14">
        <v>25156.7</v>
      </c>
      <c r="FM18" s="13" t="s">
        <v>30</v>
      </c>
      <c r="FN18" s="14">
        <v>26184.9</v>
      </c>
      <c r="FO18" s="13" t="s">
        <v>30</v>
      </c>
      <c r="FP18" s="14">
        <v>27413.8</v>
      </c>
      <c r="FQ18" s="13" t="s">
        <v>30</v>
      </c>
      <c r="FR18" s="14">
        <v>26001.5</v>
      </c>
      <c r="FS18" s="13" t="s">
        <v>30</v>
      </c>
      <c r="FT18" s="14">
        <v>26901.1</v>
      </c>
      <c r="FU18" s="13" t="s">
        <v>30</v>
      </c>
      <c r="FV18" s="14">
        <v>28203.8</v>
      </c>
      <c r="FW18" s="13" t="s">
        <v>30</v>
      </c>
      <c r="FX18" s="14">
        <v>29879.599999999999</v>
      </c>
      <c r="FY18" s="13" t="s">
        <v>30</v>
      </c>
      <c r="FZ18" s="14">
        <v>29653.1</v>
      </c>
      <c r="GA18" s="13" t="s">
        <v>30</v>
      </c>
      <c r="GB18" s="14">
        <v>29905.7</v>
      </c>
      <c r="GC18" s="13" t="s">
        <v>30</v>
      </c>
      <c r="GD18" s="14">
        <v>31484.7</v>
      </c>
      <c r="GE18" s="13" t="s">
        <v>30</v>
      </c>
      <c r="GF18" s="14">
        <v>32120.1</v>
      </c>
      <c r="GG18" s="13" t="s">
        <v>30</v>
      </c>
      <c r="GH18" s="14">
        <v>32393.4</v>
      </c>
      <c r="GI18" s="13" t="s">
        <v>30</v>
      </c>
      <c r="GJ18" s="14">
        <v>32127.599999999999</v>
      </c>
      <c r="GK18" s="13" t="s">
        <v>30</v>
      </c>
      <c r="GL18" s="14">
        <v>33534.400000000001</v>
      </c>
      <c r="GM18" s="13" t="s">
        <v>30</v>
      </c>
      <c r="GN18" s="14">
        <v>34422.300000000003</v>
      </c>
      <c r="GO18" s="13" t="s">
        <v>30</v>
      </c>
      <c r="GP18" s="14">
        <v>34577.599999999999</v>
      </c>
      <c r="GQ18" s="13" t="s">
        <v>30</v>
      </c>
      <c r="GR18" s="14">
        <v>36321.699999999997</v>
      </c>
      <c r="GS18" s="13" t="s">
        <v>30</v>
      </c>
      <c r="GT18" s="14">
        <v>35360.9</v>
      </c>
      <c r="GU18" s="13" t="s">
        <v>30</v>
      </c>
      <c r="GV18" s="14">
        <v>37617.1</v>
      </c>
      <c r="GW18" s="13" t="s">
        <v>30</v>
      </c>
      <c r="GX18" s="14">
        <v>37382.400000000001</v>
      </c>
      <c r="GY18" s="13" t="s">
        <v>30</v>
      </c>
      <c r="GZ18" s="14">
        <v>39829.800000000003</v>
      </c>
      <c r="HA18" s="13" t="s">
        <v>30</v>
      </c>
      <c r="HB18" s="14">
        <v>38249.699999999997</v>
      </c>
      <c r="HC18" s="13" t="s">
        <v>30</v>
      </c>
      <c r="HD18" s="14">
        <v>39603.699999999997</v>
      </c>
      <c r="HE18" s="13" t="s">
        <v>30</v>
      </c>
      <c r="HF18" s="14">
        <v>38087.9</v>
      </c>
      <c r="HG18" s="13" t="s">
        <v>30</v>
      </c>
      <c r="HH18" s="14">
        <v>39970.6</v>
      </c>
      <c r="HI18" s="13" t="s">
        <v>30</v>
      </c>
      <c r="HJ18" s="15">
        <v>39867</v>
      </c>
      <c r="HK18" s="13" t="s">
        <v>30</v>
      </c>
      <c r="HL18" s="14">
        <v>42470.7</v>
      </c>
      <c r="HM18" s="13" t="s">
        <v>30</v>
      </c>
      <c r="HN18" s="15">
        <v>40595</v>
      </c>
      <c r="HO18" s="13" t="s">
        <v>30</v>
      </c>
      <c r="HP18" s="15">
        <v>42478</v>
      </c>
      <c r="HQ18" s="13" t="s">
        <v>30</v>
      </c>
      <c r="HR18" s="14">
        <v>40490.199999999997</v>
      </c>
      <c r="HS18" s="13" t="s">
        <v>30</v>
      </c>
      <c r="HT18" s="14">
        <v>42670.9</v>
      </c>
      <c r="HU18" s="13" t="s">
        <v>30</v>
      </c>
      <c r="HV18" s="14">
        <v>40354.5</v>
      </c>
      <c r="HW18" s="13" t="s">
        <v>30</v>
      </c>
      <c r="HX18" s="14">
        <v>44040.9</v>
      </c>
      <c r="HY18" s="13" t="s">
        <v>30</v>
      </c>
      <c r="HZ18" s="14">
        <v>43312.1</v>
      </c>
      <c r="IA18" s="13" t="s">
        <v>30</v>
      </c>
      <c r="IB18" s="14">
        <v>44988.6</v>
      </c>
      <c r="IC18" s="13" t="s">
        <v>30</v>
      </c>
      <c r="ID18" s="14">
        <v>42369.7</v>
      </c>
      <c r="IE18" s="13" t="s">
        <v>30</v>
      </c>
      <c r="IF18" s="14">
        <v>45597.4</v>
      </c>
      <c r="IG18" s="13" t="s">
        <v>30</v>
      </c>
      <c r="IH18" s="14">
        <v>45950.6</v>
      </c>
      <c r="II18" s="13" t="s">
        <v>30</v>
      </c>
      <c r="IJ18" s="14">
        <v>47347.8</v>
      </c>
      <c r="IK18" s="13" t="s">
        <v>30</v>
      </c>
      <c r="IL18" s="14">
        <v>45456.2</v>
      </c>
      <c r="IM18" s="13" t="s">
        <v>30</v>
      </c>
      <c r="IN18" s="14">
        <v>48250.6</v>
      </c>
      <c r="IO18" s="13" t="s">
        <v>30</v>
      </c>
      <c r="IP18" s="14">
        <v>47829.1</v>
      </c>
      <c r="IQ18" s="13" t="s">
        <v>30</v>
      </c>
      <c r="IR18" s="14">
        <v>49804.800000000003</v>
      </c>
      <c r="IS18" s="13" t="s">
        <v>30</v>
      </c>
      <c r="IT18" s="14">
        <v>48055.6</v>
      </c>
      <c r="IU18" s="13" t="s">
        <v>30</v>
      </c>
      <c r="IV18" s="14">
        <v>49900.2</v>
      </c>
      <c r="IW18" s="13" t="s">
        <v>30</v>
      </c>
      <c r="IX18" s="14">
        <v>52331.4</v>
      </c>
      <c r="IY18" s="13" t="s">
        <v>30</v>
      </c>
      <c r="IZ18" s="14">
        <v>52827.8</v>
      </c>
      <c r="JA18" s="13" t="s">
        <v>30</v>
      </c>
      <c r="JB18" s="14">
        <v>51881.3</v>
      </c>
      <c r="JC18" s="13" t="s">
        <v>30</v>
      </c>
      <c r="JD18" s="14">
        <v>53842.7</v>
      </c>
      <c r="JE18" s="13" t="s">
        <v>30</v>
      </c>
      <c r="JF18" s="14">
        <v>52596.5</v>
      </c>
      <c r="JG18" s="13" t="s">
        <v>30</v>
      </c>
      <c r="JH18" s="15">
        <v>52752</v>
      </c>
      <c r="JI18" s="13" t="s">
        <v>30</v>
      </c>
      <c r="JJ18" s="14">
        <v>51331.5</v>
      </c>
      <c r="JK18" s="13" t="s">
        <v>30</v>
      </c>
      <c r="JL18" s="14">
        <v>49469.2</v>
      </c>
      <c r="JM18" s="13" t="s">
        <v>30</v>
      </c>
      <c r="JN18" s="14">
        <v>49080.3</v>
      </c>
      <c r="JO18" s="13" t="s">
        <v>30</v>
      </c>
      <c r="JP18" s="14">
        <v>49587.7</v>
      </c>
      <c r="JQ18" s="13" t="s">
        <v>30</v>
      </c>
      <c r="JR18" s="14">
        <v>47522.9</v>
      </c>
      <c r="JS18" s="13" t="s">
        <v>30</v>
      </c>
      <c r="JT18" s="14">
        <v>46818.7</v>
      </c>
      <c r="JU18" s="13" t="s">
        <v>30</v>
      </c>
      <c r="JV18" s="14">
        <v>48986.3</v>
      </c>
      <c r="JW18" s="13" t="s">
        <v>30</v>
      </c>
      <c r="JX18" s="14">
        <v>48921.7</v>
      </c>
      <c r="JY18" s="13" t="s">
        <v>30</v>
      </c>
      <c r="JZ18" s="14">
        <v>48624.3</v>
      </c>
      <c r="KA18" s="13" t="s">
        <v>30</v>
      </c>
      <c r="KB18" s="14">
        <v>49948.2</v>
      </c>
      <c r="KC18" s="13" t="s">
        <v>30</v>
      </c>
      <c r="KD18" s="14">
        <v>49176.800000000003</v>
      </c>
      <c r="KE18" s="13" t="s">
        <v>30</v>
      </c>
      <c r="KF18" s="14">
        <v>51323.5</v>
      </c>
      <c r="KG18" s="13" t="s">
        <v>30</v>
      </c>
      <c r="KH18" s="14">
        <v>49830.1</v>
      </c>
      <c r="KI18" s="13" t="s">
        <v>30</v>
      </c>
      <c r="KJ18" s="14">
        <v>50873.7</v>
      </c>
      <c r="KK18" s="13" t="s">
        <v>30</v>
      </c>
      <c r="KL18" s="15">
        <v>49042</v>
      </c>
      <c r="KM18" s="13" t="s">
        <v>30</v>
      </c>
      <c r="KN18" s="14">
        <v>49282.3</v>
      </c>
      <c r="KO18" s="13" t="s">
        <v>30</v>
      </c>
      <c r="KP18" s="14">
        <v>48189.3</v>
      </c>
      <c r="KQ18" s="13" t="s">
        <v>30</v>
      </c>
      <c r="KR18" s="14">
        <v>49078.8</v>
      </c>
      <c r="KS18" s="13" t="s">
        <v>30</v>
      </c>
      <c r="KT18" s="14">
        <v>47900.7</v>
      </c>
      <c r="KU18" s="13" t="s">
        <v>30</v>
      </c>
      <c r="KV18" s="14">
        <v>49853.4</v>
      </c>
      <c r="KW18" s="13" t="s">
        <v>30</v>
      </c>
      <c r="KX18" s="14">
        <v>50459.9</v>
      </c>
      <c r="KY18" s="13" t="s">
        <v>30</v>
      </c>
      <c r="KZ18" s="14">
        <v>51646.6</v>
      </c>
      <c r="LA18" s="13" t="s">
        <v>30</v>
      </c>
      <c r="LB18" s="14">
        <v>51926.8</v>
      </c>
      <c r="LC18" s="13" t="s">
        <v>30</v>
      </c>
      <c r="LD18" s="14">
        <v>55086.9</v>
      </c>
      <c r="LE18" s="13" t="s">
        <v>30</v>
      </c>
      <c r="LF18" s="14">
        <v>54263.6</v>
      </c>
      <c r="LG18" s="13" t="s">
        <v>30</v>
      </c>
      <c r="LH18" s="14">
        <v>55834.9</v>
      </c>
      <c r="LI18" s="13" t="s">
        <v>30</v>
      </c>
      <c r="LJ18" s="14">
        <v>67268.5</v>
      </c>
      <c r="LK18" s="13" t="s">
        <v>30</v>
      </c>
      <c r="LL18" s="14">
        <v>64142.8</v>
      </c>
      <c r="LM18" s="13" t="s">
        <v>30</v>
      </c>
      <c r="LN18" s="14">
        <v>65817.3</v>
      </c>
      <c r="LO18" s="13" t="s">
        <v>30</v>
      </c>
      <c r="LP18" s="14">
        <v>68734.7</v>
      </c>
      <c r="LQ18" s="13" t="s">
        <v>30</v>
      </c>
      <c r="LR18" s="14">
        <v>65788.100000000006</v>
      </c>
      <c r="LS18" s="13" t="s">
        <v>30</v>
      </c>
      <c r="LT18" s="15">
        <v>65045</v>
      </c>
      <c r="LU18" s="13" t="s">
        <v>30</v>
      </c>
      <c r="LV18" s="14">
        <v>63825.9</v>
      </c>
      <c r="LW18" s="13" t="s">
        <v>30</v>
      </c>
      <c r="LX18" s="14">
        <v>73915.899999999994</v>
      </c>
      <c r="LY18" s="13" t="s">
        <v>30</v>
      </c>
      <c r="LZ18" s="15">
        <v>68621</v>
      </c>
      <c r="MA18" s="13" t="s">
        <v>30</v>
      </c>
      <c r="MB18" s="14">
        <v>68999.399999999994</v>
      </c>
      <c r="MC18" s="13" t="s">
        <v>30</v>
      </c>
      <c r="MD18" s="14">
        <v>73816.3</v>
      </c>
      <c r="ME18" s="13" t="s">
        <v>30</v>
      </c>
      <c r="MF18" s="14">
        <v>77870.899999999994</v>
      </c>
      <c r="MG18" s="13" t="s">
        <v>30</v>
      </c>
      <c r="MH18" s="14">
        <v>74888.600000000006</v>
      </c>
      <c r="MI18" s="13" t="s">
        <v>30</v>
      </c>
      <c r="MJ18" s="15">
        <v>78382</v>
      </c>
      <c r="MK18" s="13" t="s">
        <v>30</v>
      </c>
      <c r="ML18" s="14">
        <v>80455.600000000006</v>
      </c>
      <c r="MM18" s="13" t="s">
        <v>30</v>
      </c>
      <c r="MN18" s="14">
        <v>82624.3</v>
      </c>
      <c r="MO18" s="13" t="s">
        <v>30</v>
      </c>
      <c r="MP18" s="14">
        <v>77894.8</v>
      </c>
      <c r="MQ18" s="13" t="s">
        <v>30</v>
      </c>
      <c r="MR18" s="14">
        <v>82471.199999999997</v>
      </c>
      <c r="MS18" s="13" t="s">
        <v>30</v>
      </c>
      <c r="MT18" s="14">
        <v>85149.1</v>
      </c>
      <c r="MU18" s="13" t="s">
        <v>30</v>
      </c>
      <c r="MV18" s="14">
        <v>87524.5</v>
      </c>
      <c r="MW18" s="13" t="s">
        <v>30</v>
      </c>
      <c r="MX18" s="14">
        <v>88256.5</v>
      </c>
      <c r="MY18" s="13" t="s">
        <v>30</v>
      </c>
      <c r="MZ18" s="14">
        <v>83497.899999999994</v>
      </c>
      <c r="NA18" s="13" t="s">
        <v>30</v>
      </c>
      <c r="NB18" s="14">
        <v>93232.9</v>
      </c>
      <c r="NC18" s="13" t="s">
        <v>30</v>
      </c>
      <c r="ND18" s="14">
        <v>93677.9</v>
      </c>
      <c r="NE18" s="13" t="s">
        <v>30</v>
      </c>
      <c r="NF18" s="14">
        <v>98333.6</v>
      </c>
      <c r="NG18" s="13" t="s">
        <v>30</v>
      </c>
      <c r="NH18" s="14">
        <v>101618.8</v>
      </c>
      <c r="NI18" s="13" t="s">
        <v>30</v>
      </c>
      <c r="NJ18" s="14">
        <v>108619.7</v>
      </c>
      <c r="NK18" s="13" t="s">
        <v>30</v>
      </c>
      <c r="NL18" s="14">
        <v>109194.8</v>
      </c>
      <c r="NM18" s="13" t="s">
        <v>30</v>
      </c>
      <c r="NN18" s="14">
        <v>106546.1</v>
      </c>
      <c r="NO18" s="13" t="s">
        <v>30</v>
      </c>
      <c r="NP18" s="14">
        <v>110103.1</v>
      </c>
      <c r="NQ18" s="13" t="s">
        <v>30</v>
      </c>
      <c r="NR18" s="14">
        <v>117921.4</v>
      </c>
      <c r="NS18" s="13" t="s">
        <v>30</v>
      </c>
      <c r="NT18" s="14">
        <v>119889.5</v>
      </c>
      <c r="NU18" s="13" t="s">
        <v>30</v>
      </c>
      <c r="NV18" s="14">
        <v>108048.6</v>
      </c>
      <c r="NW18" s="13" t="s">
        <v>30</v>
      </c>
      <c r="NX18" s="14">
        <v>112531.9</v>
      </c>
      <c r="NY18" s="13" t="s">
        <v>30</v>
      </c>
      <c r="NZ18" s="14">
        <v>113360.6</v>
      </c>
      <c r="OA18" s="13" t="s">
        <v>30</v>
      </c>
      <c r="OB18" s="14">
        <v>111073.2</v>
      </c>
      <c r="OC18" s="13" t="s">
        <v>30</v>
      </c>
      <c r="OD18" s="14">
        <v>106339.2</v>
      </c>
      <c r="OE18" s="13" t="s">
        <v>30</v>
      </c>
      <c r="OF18" s="14">
        <v>108960.2</v>
      </c>
      <c r="OG18" s="13" t="s">
        <v>30</v>
      </c>
      <c r="OH18" s="14">
        <v>119983.3</v>
      </c>
      <c r="OI18" s="13" t="s">
        <v>30</v>
      </c>
      <c r="OJ18" s="14">
        <v>121363.4</v>
      </c>
      <c r="OK18" s="13" t="s">
        <v>30</v>
      </c>
      <c r="OL18" s="14">
        <v>126390.3</v>
      </c>
      <c r="OM18" s="13" t="s">
        <v>30</v>
      </c>
      <c r="ON18" s="14">
        <v>126585.7</v>
      </c>
      <c r="OO18" s="13" t="s">
        <v>30</v>
      </c>
      <c r="OP18" s="13" t="s">
        <v>235</v>
      </c>
      <c r="OQ18" s="13" t="s">
        <v>30</v>
      </c>
    </row>
    <row r="19" spans="1:407" x14ac:dyDescent="0.3">
      <c r="A19" s="12" t="s">
        <v>244</v>
      </c>
      <c r="B19" s="16" t="s">
        <v>235</v>
      </c>
      <c r="C19" s="16" t="s">
        <v>30</v>
      </c>
      <c r="D19" s="16" t="s">
        <v>235</v>
      </c>
      <c r="E19" s="16" t="s">
        <v>30</v>
      </c>
      <c r="F19" s="16" t="s">
        <v>235</v>
      </c>
      <c r="G19" s="16" t="s">
        <v>30</v>
      </c>
      <c r="H19" s="16" t="s">
        <v>235</v>
      </c>
      <c r="I19" s="16" t="s">
        <v>30</v>
      </c>
      <c r="J19" s="16" t="s">
        <v>235</v>
      </c>
      <c r="K19" s="16" t="s">
        <v>30</v>
      </c>
      <c r="L19" s="16" t="s">
        <v>235</v>
      </c>
      <c r="M19" s="16" t="s">
        <v>30</v>
      </c>
      <c r="N19" s="16" t="s">
        <v>235</v>
      </c>
      <c r="O19" s="16" t="s">
        <v>30</v>
      </c>
      <c r="P19" s="16" t="s">
        <v>235</v>
      </c>
      <c r="Q19" s="16" t="s">
        <v>30</v>
      </c>
      <c r="R19" s="16" t="s">
        <v>235</v>
      </c>
      <c r="S19" s="16" t="s">
        <v>30</v>
      </c>
      <c r="T19" s="16" t="s">
        <v>235</v>
      </c>
      <c r="U19" s="16" t="s">
        <v>30</v>
      </c>
      <c r="V19" s="16" t="s">
        <v>235</v>
      </c>
      <c r="W19" s="16" t="s">
        <v>30</v>
      </c>
      <c r="X19" s="16" t="s">
        <v>235</v>
      </c>
      <c r="Y19" s="16" t="s">
        <v>30</v>
      </c>
      <c r="Z19" s="16" t="s">
        <v>235</v>
      </c>
      <c r="AA19" s="16" t="s">
        <v>30</v>
      </c>
      <c r="AB19" s="16" t="s">
        <v>235</v>
      </c>
      <c r="AC19" s="16" t="s">
        <v>30</v>
      </c>
      <c r="AD19" s="16" t="s">
        <v>235</v>
      </c>
      <c r="AE19" s="16" t="s">
        <v>30</v>
      </c>
      <c r="AF19" s="16" t="s">
        <v>235</v>
      </c>
      <c r="AG19" s="16" t="s">
        <v>30</v>
      </c>
      <c r="AH19" s="16" t="s">
        <v>235</v>
      </c>
      <c r="AI19" s="16" t="s">
        <v>30</v>
      </c>
      <c r="AJ19" s="16" t="s">
        <v>235</v>
      </c>
      <c r="AK19" s="16" t="s">
        <v>30</v>
      </c>
      <c r="AL19" s="16" t="s">
        <v>235</v>
      </c>
      <c r="AM19" s="16" t="s">
        <v>30</v>
      </c>
      <c r="AN19" s="16" t="s">
        <v>235</v>
      </c>
      <c r="AO19" s="16" t="s">
        <v>30</v>
      </c>
      <c r="AP19" s="16" t="s">
        <v>235</v>
      </c>
      <c r="AQ19" s="16" t="s">
        <v>30</v>
      </c>
      <c r="AR19" s="16" t="s">
        <v>235</v>
      </c>
      <c r="AS19" s="16" t="s">
        <v>30</v>
      </c>
      <c r="AT19" s="16" t="s">
        <v>235</v>
      </c>
      <c r="AU19" s="16" t="s">
        <v>30</v>
      </c>
      <c r="AV19" s="16" t="s">
        <v>235</v>
      </c>
      <c r="AW19" s="16" t="s">
        <v>30</v>
      </c>
      <c r="AX19" s="16" t="s">
        <v>235</v>
      </c>
      <c r="AY19" s="16" t="s">
        <v>30</v>
      </c>
      <c r="AZ19" s="16" t="s">
        <v>235</v>
      </c>
      <c r="BA19" s="16" t="s">
        <v>30</v>
      </c>
      <c r="BB19" s="16" t="s">
        <v>235</v>
      </c>
      <c r="BC19" s="16" t="s">
        <v>30</v>
      </c>
      <c r="BD19" s="16" t="s">
        <v>235</v>
      </c>
      <c r="BE19" s="16" t="s">
        <v>30</v>
      </c>
      <c r="BF19" s="16" t="s">
        <v>235</v>
      </c>
      <c r="BG19" s="16" t="s">
        <v>30</v>
      </c>
      <c r="BH19" s="16" t="s">
        <v>235</v>
      </c>
      <c r="BI19" s="16" t="s">
        <v>30</v>
      </c>
      <c r="BJ19" s="16" t="s">
        <v>235</v>
      </c>
      <c r="BK19" s="16" t="s">
        <v>30</v>
      </c>
      <c r="BL19" s="16" t="s">
        <v>235</v>
      </c>
      <c r="BM19" s="16" t="s">
        <v>30</v>
      </c>
      <c r="BN19" s="16" t="s">
        <v>235</v>
      </c>
      <c r="BO19" s="16" t="s">
        <v>30</v>
      </c>
      <c r="BP19" s="16" t="s">
        <v>235</v>
      </c>
      <c r="BQ19" s="16" t="s">
        <v>30</v>
      </c>
      <c r="BR19" s="16" t="s">
        <v>235</v>
      </c>
      <c r="BS19" s="16" t="s">
        <v>30</v>
      </c>
      <c r="BT19" s="16" t="s">
        <v>235</v>
      </c>
      <c r="BU19" s="16" t="s">
        <v>30</v>
      </c>
      <c r="BV19" s="16" t="s">
        <v>235</v>
      </c>
      <c r="BW19" s="16" t="s">
        <v>30</v>
      </c>
      <c r="BX19" s="16" t="s">
        <v>235</v>
      </c>
      <c r="BY19" s="16" t="s">
        <v>30</v>
      </c>
      <c r="BZ19" s="16" t="s">
        <v>235</v>
      </c>
      <c r="CA19" s="16" t="s">
        <v>30</v>
      </c>
      <c r="CB19" s="16" t="s">
        <v>235</v>
      </c>
      <c r="CC19" s="16" t="s">
        <v>30</v>
      </c>
      <c r="CD19" s="16" t="s">
        <v>235</v>
      </c>
      <c r="CE19" s="16" t="s">
        <v>30</v>
      </c>
      <c r="CF19" s="16" t="s">
        <v>235</v>
      </c>
      <c r="CG19" s="16" t="s">
        <v>30</v>
      </c>
      <c r="CH19" s="16" t="s">
        <v>235</v>
      </c>
      <c r="CI19" s="16" t="s">
        <v>30</v>
      </c>
      <c r="CJ19" s="16" t="s">
        <v>235</v>
      </c>
      <c r="CK19" s="16" t="s">
        <v>30</v>
      </c>
      <c r="CL19" s="16" t="s">
        <v>235</v>
      </c>
      <c r="CM19" s="16" t="s">
        <v>30</v>
      </c>
      <c r="CN19" s="16" t="s">
        <v>235</v>
      </c>
      <c r="CO19" s="16" t="s">
        <v>30</v>
      </c>
      <c r="CP19" s="16" t="s">
        <v>235</v>
      </c>
      <c r="CQ19" s="16" t="s">
        <v>30</v>
      </c>
      <c r="CR19" s="16" t="s">
        <v>235</v>
      </c>
      <c r="CS19" s="16" t="s">
        <v>30</v>
      </c>
      <c r="CT19" s="16" t="s">
        <v>235</v>
      </c>
      <c r="CU19" s="16" t="s">
        <v>30</v>
      </c>
      <c r="CV19" s="16" t="s">
        <v>235</v>
      </c>
      <c r="CW19" s="16" t="s">
        <v>30</v>
      </c>
      <c r="CX19" s="16" t="s">
        <v>235</v>
      </c>
      <c r="CY19" s="16" t="s">
        <v>30</v>
      </c>
      <c r="CZ19" s="16" t="s">
        <v>235</v>
      </c>
      <c r="DA19" s="16" t="s">
        <v>30</v>
      </c>
      <c r="DB19" s="16" t="s">
        <v>235</v>
      </c>
      <c r="DC19" s="16" t="s">
        <v>30</v>
      </c>
      <c r="DD19" s="16" t="s">
        <v>235</v>
      </c>
      <c r="DE19" s="16" t="s">
        <v>30</v>
      </c>
      <c r="DF19" s="16" t="s">
        <v>235</v>
      </c>
      <c r="DG19" s="16" t="s">
        <v>30</v>
      </c>
      <c r="DH19" s="16" t="s">
        <v>235</v>
      </c>
      <c r="DI19" s="16" t="s">
        <v>30</v>
      </c>
      <c r="DJ19" s="16" t="s">
        <v>235</v>
      </c>
      <c r="DK19" s="16" t="s">
        <v>30</v>
      </c>
      <c r="DL19" s="16" t="s">
        <v>235</v>
      </c>
      <c r="DM19" s="16" t="s">
        <v>30</v>
      </c>
      <c r="DN19" s="16" t="s">
        <v>235</v>
      </c>
      <c r="DO19" s="16" t="s">
        <v>30</v>
      </c>
      <c r="DP19" s="16" t="s">
        <v>235</v>
      </c>
      <c r="DQ19" s="16" t="s">
        <v>30</v>
      </c>
      <c r="DR19" s="16" t="s">
        <v>235</v>
      </c>
      <c r="DS19" s="16" t="s">
        <v>30</v>
      </c>
      <c r="DT19" s="16" t="s">
        <v>235</v>
      </c>
      <c r="DU19" s="16" t="s">
        <v>30</v>
      </c>
      <c r="DV19" s="16" t="s">
        <v>235</v>
      </c>
      <c r="DW19" s="16" t="s">
        <v>30</v>
      </c>
      <c r="DX19" s="16" t="s">
        <v>235</v>
      </c>
      <c r="DY19" s="16" t="s">
        <v>30</v>
      </c>
      <c r="DZ19" s="16" t="s">
        <v>235</v>
      </c>
      <c r="EA19" s="16" t="s">
        <v>30</v>
      </c>
      <c r="EB19" s="16" t="s">
        <v>235</v>
      </c>
      <c r="EC19" s="16" t="s">
        <v>30</v>
      </c>
      <c r="ED19" s="16" t="s">
        <v>235</v>
      </c>
      <c r="EE19" s="16" t="s">
        <v>30</v>
      </c>
      <c r="EF19" s="16" t="s">
        <v>235</v>
      </c>
      <c r="EG19" s="16" t="s">
        <v>30</v>
      </c>
      <c r="EH19" s="16" t="s">
        <v>235</v>
      </c>
      <c r="EI19" s="16" t="s">
        <v>30</v>
      </c>
      <c r="EJ19" s="16" t="s">
        <v>235</v>
      </c>
      <c r="EK19" s="16" t="s">
        <v>30</v>
      </c>
      <c r="EL19" s="16" t="s">
        <v>235</v>
      </c>
      <c r="EM19" s="16" t="s">
        <v>30</v>
      </c>
      <c r="EN19" s="16" t="s">
        <v>235</v>
      </c>
      <c r="EO19" s="16" t="s">
        <v>30</v>
      </c>
      <c r="EP19" s="16" t="s">
        <v>235</v>
      </c>
      <c r="EQ19" s="16" t="s">
        <v>30</v>
      </c>
      <c r="ER19" s="16" t="s">
        <v>235</v>
      </c>
      <c r="ES19" s="16" t="s">
        <v>30</v>
      </c>
      <c r="ET19" s="16" t="s">
        <v>235</v>
      </c>
      <c r="EU19" s="16" t="s">
        <v>30</v>
      </c>
      <c r="EV19" s="16" t="s">
        <v>235</v>
      </c>
      <c r="EW19" s="16" t="s">
        <v>30</v>
      </c>
      <c r="EX19" s="16" t="s">
        <v>235</v>
      </c>
      <c r="EY19" s="16" t="s">
        <v>30</v>
      </c>
      <c r="EZ19" s="16" t="s">
        <v>235</v>
      </c>
      <c r="FA19" s="16" t="s">
        <v>30</v>
      </c>
      <c r="FB19" s="16" t="s">
        <v>235</v>
      </c>
      <c r="FC19" s="16" t="s">
        <v>30</v>
      </c>
      <c r="FD19" s="16" t="s">
        <v>235</v>
      </c>
      <c r="FE19" s="16" t="s">
        <v>30</v>
      </c>
      <c r="FF19" s="17">
        <v>30668.5</v>
      </c>
      <c r="FG19" s="16" t="s">
        <v>30</v>
      </c>
      <c r="FH19" s="17">
        <v>31323.8</v>
      </c>
      <c r="FI19" s="16" t="s">
        <v>30</v>
      </c>
      <c r="FJ19" s="17">
        <v>34074.9</v>
      </c>
      <c r="FK19" s="16" t="s">
        <v>30</v>
      </c>
      <c r="FL19" s="17">
        <v>35140.6</v>
      </c>
      <c r="FM19" s="16" t="s">
        <v>30</v>
      </c>
      <c r="FN19" s="17">
        <v>31186.6</v>
      </c>
      <c r="FO19" s="16" t="s">
        <v>30</v>
      </c>
      <c r="FP19" s="17">
        <v>31478.2</v>
      </c>
      <c r="FQ19" s="16" t="s">
        <v>30</v>
      </c>
      <c r="FR19" s="18">
        <v>34390</v>
      </c>
      <c r="FS19" s="16" t="s">
        <v>30</v>
      </c>
      <c r="FT19" s="17">
        <v>35249.599999999999</v>
      </c>
      <c r="FU19" s="16" t="s">
        <v>30</v>
      </c>
      <c r="FV19" s="17">
        <v>31740.1</v>
      </c>
      <c r="FW19" s="16" t="s">
        <v>30</v>
      </c>
      <c r="FX19" s="17">
        <v>32587.5</v>
      </c>
      <c r="FY19" s="16" t="s">
        <v>30</v>
      </c>
      <c r="FZ19" s="17">
        <v>35723.199999999997</v>
      </c>
      <c r="GA19" s="16" t="s">
        <v>30</v>
      </c>
      <c r="GB19" s="17">
        <v>36625.199999999997</v>
      </c>
      <c r="GC19" s="16" t="s">
        <v>30</v>
      </c>
      <c r="GD19" s="17">
        <v>33791.300000000003</v>
      </c>
      <c r="GE19" s="16" t="s">
        <v>30</v>
      </c>
      <c r="GF19" s="17">
        <v>34203.199999999997</v>
      </c>
      <c r="GG19" s="16" t="s">
        <v>30</v>
      </c>
      <c r="GH19" s="17">
        <v>36864.199999999997</v>
      </c>
      <c r="GI19" s="16" t="s">
        <v>30</v>
      </c>
      <c r="GJ19" s="17">
        <v>37607.599999999999</v>
      </c>
      <c r="GK19" s="16" t="s">
        <v>30</v>
      </c>
      <c r="GL19" s="18">
        <v>34057</v>
      </c>
      <c r="GM19" s="16" t="s">
        <v>30</v>
      </c>
      <c r="GN19" s="17">
        <v>34594.9</v>
      </c>
      <c r="GO19" s="16" t="s">
        <v>30</v>
      </c>
      <c r="GP19" s="17">
        <v>37315.199999999997</v>
      </c>
      <c r="GQ19" s="16" t="s">
        <v>30</v>
      </c>
      <c r="GR19" s="17">
        <v>38542.400000000001</v>
      </c>
      <c r="GS19" s="16" t="s">
        <v>30</v>
      </c>
      <c r="GT19" s="17">
        <v>35292.6</v>
      </c>
      <c r="GU19" s="16" t="s">
        <v>30</v>
      </c>
      <c r="GV19" s="17">
        <v>36022.800000000003</v>
      </c>
      <c r="GW19" s="16" t="s">
        <v>30</v>
      </c>
      <c r="GX19" s="17">
        <v>38977.699999999997</v>
      </c>
      <c r="GY19" s="16" t="s">
        <v>30</v>
      </c>
      <c r="GZ19" s="17">
        <v>39966.300000000003</v>
      </c>
      <c r="HA19" s="16" t="s">
        <v>30</v>
      </c>
      <c r="HB19" s="18">
        <v>37338</v>
      </c>
      <c r="HC19" s="16" t="s">
        <v>30</v>
      </c>
      <c r="HD19" s="17">
        <v>37471.599999999999</v>
      </c>
      <c r="HE19" s="16" t="s">
        <v>30</v>
      </c>
      <c r="HF19" s="17">
        <v>40399.800000000003</v>
      </c>
      <c r="HG19" s="16" t="s">
        <v>30</v>
      </c>
      <c r="HH19" s="17">
        <v>40972.699999999997</v>
      </c>
      <c r="HI19" s="16" t="s">
        <v>30</v>
      </c>
      <c r="HJ19" s="17">
        <v>38452.5</v>
      </c>
      <c r="HK19" s="16" t="s">
        <v>30</v>
      </c>
      <c r="HL19" s="17">
        <v>40005.5</v>
      </c>
      <c r="HM19" s="16" t="s">
        <v>30</v>
      </c>
      <c r="HN19" s="18">
        <v>42360</v>
      </c>
      <c r="HO19" s="16" t="s">
        <v>30</v>
      </c>
      <c r="HP19" s="17">
        <v>42723.1</v>
      </c>
      <c r="HQ19" s="16" t="s">
        <v>30</v>
      </c>
      <c r="HR19" s="17">
        <v>40886.5</v>
      </c>
      <c r="HS19" s="16" t="s">
        <v>30</v>
      </c>
      <c r="HT19" s="18">
        <v>42495</v>
      </c>
      <c r="HU19" s="16" t="s">
        <v>30</v>
      </c>
      <c r="HV19" s="17">
        <v>44691.1</v>
      </c>
      <c r="HW19" s="16" t="s">
        <v>30</v>
      </c>
      <c r="HX19" s="17">
        <v>45534.8</v>
      </c>
      <c r="HY19" s="16" t="s">
        <v>30</v>
      </c>
      <c r="HZ19" s="17">
        <v>44045.3</v>
      </c>
      <c r="IA19" s="16" t="s">
        <v>30</v>
      </c>
      <c r="IB19" s="17">
        <v>45026.400000000001</v>
      </c>
      <c r="IC19" s="16" t="s">
        <v>30</v>
      </c>
      <c r="ID19" s="17">
        <v>47556.7</v>
      </c>
      <c r="IE19" s="16" t="s">
        <v>30</v>
      </c>
      <c r="IF19" s="17">
        <v>47738.3</v>
      </c>
      <c r="IG19" s="16" t="s">
        <v>30</v>
      </c>
      <c r="IH19" s="17">
        <v>44118.9</v>
      </c>
      <c r="II19" s="16" t="s">
        <v>30</v>
      </c>
      <c r="IJ19" s="17">
        <v>46003.4</v>
      </c>
      <c r="IK19" s="16" t="s">
        <v>30</v>
      </c>
      <c r="IL19" s="17">
        <v>47981.1</v>
      </c>
      <c r="IM19" s="16" t="s">
        <v>30</v>
      </c>
      <c r="IN19" s="17">
        <v>48230.400000000001</v>
      </c>
      <c r="IO19" s="16" t="s">
        <v>30</v>
      </c>
      <c r="IP19" s="17">
        <v>46375.3</v>
      </c>
      <c r="IQ19" s="16" t="s">
        <v>30</v>
      </c>
      <c r="IR19" s="18">
        <v>48562</v>
      </c>
      <c r="IS19" s="16" t="s">
        <v>30</v>
      </c>
      <c r="IT19" s="18">
        <v>49731</v>
      </c>
      <c r="IU19" s="16" t="s">
        <v>30</v>
      </c>
      <c r="IV19" s="17">
        <v>51437.7</v>
      </c>
      <c r="IW19" s="16" t="s">
        <v>30</v>
      </c>
      <c r="IX19" s="17">
        <v>47687.199999999997</v>
      </c>
      <c r="IY19" s="16" t="s">
        <v>30</v>
      </c>
      <c r="IZ19" s="17">
        <v>51361.4</v>
      </c>
      <c r="JA19" s="16" t="s">
        <v>30</v>
      </c>
      <c r="JB19" s="17">
        <v>51774.1</v>
      </c>
      <c r="JC19" s="16" t="s">
        <v>30</v>
      </c>
      <c r="JD19" s="17">
        <v>51085.5</v>
      </c>
      <c r="JE19" s="16" t="s">
        <v>30</v>
      </c>
      <c r="JF19" s="17">
        <v>48710.7</v>
      </c>
      <c r="JG19" s="16" t="s">
        <v>30</v>
      </c>
      <c r="JH19" s="17">
        <v>50768.800000000003</v>
      </c>
      <c r="JI19" s="16" t="s">
        <v>30</v>
      </c>
      <c r="JJ19" s="18">
        <v>51680</v>
      </c>
      <c r="JK19" s="16" t="s">
        <v>30</v>
      </c>
      <c r="JL19" s="17">
        <v>51341.1</v>
      </c>
      <c r="JM19" s="16" t="s">
        <v>30</v>
      </c>
      <c r="JN19" s="18">
        <v>46343</v>
      </c>
      <c r="JO19" s="16" t="s">
        <v>30</v>
      </c>
      <c r="JP19" s="17">
        <v>49147.9</v>
      </c>
      <c r="JQ19" s="16" t="s">
        <v>30</v>
      </c>
      <c r="JR19" s="18">
        <v>50257</v>
      </c>
      <c r="JS19" s="16" t="s">
        <v>30</v>
      </c>
      <c r="JT19" s="18">
        <v>50099</v>
      </c>
      <c r="JU19" s="16" t="s">
        <v>30</v>
      </c>
      <c r="JV19" s="18">
        <v>45987</v>
      </c>
      <c r="JW19" s="16" t="s">
        <v>30</v>
      </c>
      <c r="JX19" s="17">
        <v>46645.2</v>
      </c>
      <c r="JY19" s="16" t="s">
        <v>30</v>
      </c>
      <c r="JZ19" s="17">
        <v>45887.7</v>
      </c>
      <c r="KA19" s="16" t="s">
        <v>30</v>
      </c>
      <c r="KB19" s="17">
        <v>45902.3</v>
      </c>
      <c r="KC19" s="16" t="s">
        <v>30</v>
      </c>
      <c r="KD19" s="17">
        <v>41441.1</v>
      </c>
      <c r="KE19" s="16" t="s">
        <v>30</v>
      </c>
      <c r="KF19" s="17">
        <v>42933.2</v>
      </c>
      <c r="KG19" s="16" t="s">
        <v>30</v>
      </c>
      <c r="KH19" s="17">
        <v>42956.9</v>
      </c>
      <c r="KI19" s="16" t="s">
        <v>30</v>
      </c>
      <c r="KJ19" s="18">
        <v>40724</v>
      </c>
      <c r="KK19" s="16" t="s">
        <v>30</v>
      </c>
      <c r="KL19" s="17">
        <v>37798.800000000003</v>
      </c>
      <c r="KM19" s="16" t="s">
        <v>30</v>
      </c>
      <c r="KN19" s="17">
        <v>39176.199999999997</v>
      </c>
      <c r="KO19" s="16" t="s">
        <v>30</v>
      </c>
      <c r="KP19" s="17">
        <v>39852.199999999997</v>
      </c>
      <c r="KQ19" s="16" t="s">
        <v>30</v>
      </c>
      <c r="KR19" s="17">
        <v>39130.6</v>
      </c>
      <c r="KS19" s="16" t="s">
        <v>30</v>
      </c>
      <c r="KT19" s="17">
        <v>35742.9</v>
      </c>
      <c r="KU19" s="16" t="s">
        <v>30</v>
      </c>
      <c r="KV19" s="17">
        <v>38221.599999999999</v>
      </c>
      <c r="KW19" s="16" t="s">
        <v>30</v>
      </c>
      <c r="KX19" s="17">
        <v>39857.800000000003</v>
      </c>
      <c r="KY19" s="16" t="s">
        <v>30</v>
      </c>
      <c r="KZ19" s="17">
        <v>39538.800000000003</v>
      </c>
      <c r="LA19" s="16" t="s">
        <v>30</v>
      </c>
      <c r="LB19" s="17">
        <v>36083.4</v>
      </c>
      <c r="LC19" s="16" t="s">
        <v>30</v>
      </c>
      <c r="LD19" s="17">
        <v>38333.800000000003</v>
      </c>
      <c r="LE19" s="16" t="s">
        <v>30</v>
      </c>
      <c r="LF19" s="17">
        <v>39907.300000000003</v>
      </c>
      <c r="LG19" s="16" t="s">
        <v>30</v>
      </c>
      <c r="LH19" s="17">
        <v>39213.699999999997</v>
      </c>
      <c r="LI19" s="16" t="s">
        <v>30</v>
      </c>
      <c r="LJ19" s="18">
        <v>36339</v>
      </c>
      <c r="LK19" s="16" t="s">
        <v>30</v>
      </c>
      <c r="LL19" s="17">
        <v>38389.199999999997</v>
      </c>
      <c r="LM19" s="16" t="s">
        <v>30</v>
      </c>
      <c r="LN19" s="18">
        <v>39213</v>
      </c>
      <c r="LO19" s="16" t="s">
        <v>30</v>
      </c>
      <c r="LP19" s="17">
        <v>39607.9</v>
      </c>
      <c r="LQ19" s="16" t="s">
        <v>30</v>
      </c>
      <c r="LR19" s="17">
        <v>35827.800000000003</v>
      </c>
      <c r="LS19" s="16" t="s">
        <v>30</v>
      </c>
      <c r="LT19" s="17">
        <v>38135.800000000003</v>
      </c>
      <c r="LU19" s="16" t="s">
        <v>30</v>
      </c>
      <c r="LV19" s="17">
        <v>39840.199999999997</v>
      </c>
      <c r="LW19" s="16" t="s">
        <v>30</v>
      </c>
      <c r="LX19" s="17">
        <v>39212.5</v>
      </c>
      <c r="LY19" s="16" t="s">
        <v>30</v>
      </c>
      <c r="LZ19" s="17">
        <v>36461.199999999997</v>
      </c>
      <c r="MA19" s="16" t="s">
        <v>30</v>
      </c>
      <c r="MB19" s="17">
        <v>38853.9</v>
      </c>
      <c r="MC19" s="16" t="s">
        <v>30</v>
      </c>
      <c r="MD19" s="17">
        <v>41710.199999999997</v>
      </c>
      <c r="ME19" s="16" t="s">
        <v>30</v>
      </c>
      <c r="MF19" s="17">
        <v>39427.9</v>
      </c>
      <c r="MG19" s="16" t="s">
        <v>30</v>
      </c>
      <c r="MH19" s="17">
        <v>36925.1</v>
      </c>
      <c r="MI19" s="16" t="s">
        <v>30</v>
      </c>
      <c r="MJ19" s="17">
        <v>39815.300000000003</v>
      </c>
      <c r="MK19" s="16" t="s">
        <v>30</v>
      </c>
      <c r="ML19" s="17">
        <v>42186.3</v>
      </c>
      <c r="MM19" s="16" t="s">
        <v>30</v>
      </c>
      <c r="MN19" s="17">
        <v>40226.9</v>
      </c>
      <c r="MO19" s="16" t="s">
        <v>30</v>
      </c>
      <c r="MP19" s="17">
        <v>37242.6</v>
      </c>
      <c r="MQ19" s="16" t="s">
        <v>30</v>
      </c>
      <c r="MR19" s="17">
        <v>40725.699999999997</v>
      </c>
      <c r="MS19" s="16" t="s">
        <v>30</v>
      </c>
      <c r="MT19" s="17">
        <v>43436.7</v>
      </c>
      <c r="MU19" s="16" t="s">
        <v>30</v>
      </c>
      <c r="MV19" s="17">
        <v>40568.5</v>
      </c>
      <c r="MW19" s="16" t="s">
        <v>30</v>
      </c>
      <c r="MX19" s="17">
        <v>36381.800000000003</v>
      </c>
      <c r="MY19" s="16" t="s">
        <v>30</v>
      </c>
      <c r="MZ19" s="17">
        <v>34421.300000000003</v>
      </c>
      <c r="NA19" s="16" t="s">
        <v>30</v>
      </c>
      <c r="NB19" s="18">
        <v>38977</v>
      </c>
      <c r="NC19" s="16" t="s">
        <v>30</v>
      </c>
      <c r="ND19" s="17">
        <v>37456.199999999997</v>
      </c>
      <c r="NE19" s="16" t="s">
        <v>30</v>
      </c>
      <c r="NF19" s="17">
        <v>35806.800000000003</v>
      </c>
      <c r="NG19" s="16" t="s">
        <v>30</v>
      </c>
      <c r="NH19" s="18">
        <v>38839</v>
      </c>
      <c r="NI19" s="16" t="s">
        <v>30</v>
      </c>
      <c r="NJ19" s="17">
        <v>43570.7</v>
      </c>
      <c r="NK19" s="16" t="s">
        <v>30</v>
      </c>
      <c r="NL19" s="17">
        <v>40982.9</v>
      </c>
      <c r="NM19" s="16" t="s">
        <v>30</v>
      </c>
      <c r="NN19" s="18">
        <v>38041</v>
      </c>
      <c r="NO19" s="16" t="s">
        <v>237</v>
      </c>
      <c r="NP19" s="18">
        <v>41380</v>
      </c>
      <c r="NQ19" s="16" t="s">
        <v>237</v>
      </c>
      <c r="NR19" s="17">
        <v>45546.1</v>
      </c>
      <c r="NS19" s="16" t="s">
        <v>237</v>
      </c>
      <c r="NT19" s="17">
        <v>42662.9</v>
      </c>
      <c r="NU19" s="16" t="s">
        <v>237</v>
      </c>
      <c r="NV19" s="17">
        <v>39171.5</v>
      </c>
      <c r="NW19" s="16" t="s">
        <v>237</v>
      </c>
      <c r="NX19" s="17">
        <v>42380.5</v>
      </c>
      <c r="NY19" s="16" t="s">
        <v>237</v>
      </c>
      <c r="NZ19" s="17">
        <v>46146.6</v>
      </c>
      <c r="OA19" s="16" t="s">
        <v>237</v>
      </c>
      <c r="OB19" s="17">
        <v>43621.8</v>
      </c>
      <c r="OC19" s="16" t="s">
        <v>237</v>
      </c>
      <c r="OD19" s="17">
        <v>39428.1</v>
      </c>
      <c r="OE19" s="16" t="s">
        <v>237</v>
      </c>
      <c r="OF19" s="17">
        <v>43346.8</v>
      </c>
      <c r="OG19" s="16" t="s">
        <v>237</v>
      </c>
      <c r="OH19" s="18">
        <v>47054</v>
      </c>
      <c r="OI19" s="16" t="s">
        <v>237</v>
      </c>
      <c r="OJ19" s="17">
        <v>44573.5</v>
      </c>
      <c r="OK19" s="16" t="s">
        <v>237</v>
      </c>
      <c r="OL19" s="17">
        <v>39798.699999999997</v>
      </c>
      <c r="OM19" s="16" t="s">
        <v>237</v>
      </c>
      <c r="ON19" s="17">
        <v>43956.5</v>
      </c>
      <c r="OO19" s="16" t="s">
        <v>237</v>
      </c>
      <c r="OP19" s="16" t="s">
        <v>235</v>
      </c>
      <c r="OQ19" s="16" t="s">
        <v>30</v>
      </c>
    </row>
    <row r="20" spans="1:407" x14ac:dyDescent="0.3">
      <c r="A20" s="12" t="s">
        <v>245</v>
      </c>
      <c r="B20" s="13" t="s">
        <v>235</v>
      </c>
      <c r="C20" s="13" t="s">
        <v>30</v>
      </c>
      <c r="D20" s="13" t="s">
        <v>235</v>
      </c>
      <c r="E20" s="13" t="s">
        <v>30</v>
      </c>
      <c r="F20" s="13" t="s">
        <v>235</v>
      </c>
      <c r="G20" s="13" t="s">
        <v>30</v>
      </c>
      <c r="H20" s="13" t="s">
        <v>235</v>
      </c>
      <c r="I20" s="13" t="s">
        <v>30</v>
      </c>
      <c r="J20" s="13" t="s">
        <v>235</v>
      </c>
      <c r="K20" s="13" t="s">
        <v>30</v>
      </c>
      <c r="L20" s="13" t="s">
        <v>235</v>
      </c>
      <c r="M20" s="13" t="s">
        <v>30</v>
      </c>
      <c r="N20" s="13" t="s">
        <v>235</v>
      </c>
      <c r="O20" s="13" t="s">
        <v>30</v>
      </c>
      <c r="P20" s="13" t="s">
        <v>235</v>
      </c>
      <c r="Q20" s="13" t="s">
        <v>30</v>
      </c>
      <c r="R20" s="13" t="s">
        <v>235</v>
      </c>
      <c r="S20" s="13" t="s">
        <v>30</v>
      </c>
      <c r="T20" s="13" t="s">
        <v>235</v>
      </c>
      <c r="U20" s="13" t="s">
        <v>30</v>
      </c>
      <c r="V20" s="13" t="s">
        <v>235</v>
      </c>
      <c r="W20" s="13" t="s">
        <v>30</v>
      </c>
      <c r="X20" s="13" t="s">
        <v>235</v>
      </c>
      <c r="Y20" s="13" t="s">
        <v>30</v>
      </c>
      <c r="Z20" s="13" t="s">
        <v>235</v>
      </c>
      <c r="AA20" s="13" t="s">
        <v>30</v>
      </c>
      <c r="AB20" s="13" t="s">
        <v>235</v>
      </c>
      <c r="AC20" s="13" t="s">
        <v>30</v>
      </c>
      <c r="AD20" s="13" t="s">
        <v>235</v>
      </c>
      <c r="AE20" s="13" t="s">
        <v>30</v>
      </c>
      <c r="AF20" s="13" t="s">
        <v>235</v>
      </c>
      <c r="AG20" s="13" t="s">
        <v>30</v>
      </c>
      <c r="AH20" s="13" t="s">
        <v>235</v>
      </c>
      <c r="AI20" s="13" t="s">
        <v>30</v>
      </c>
      <c r="AJ20" s="13" t="s">
        <v>235</v>
      </c>
      <c r="AK20" s="13" t="s">
        <v>30</v>
      </c>
      <c r="AL20" s="13" t="s">
        <v>235</v>
      </c>
      <c r="AM20" s="13" t="s">
        <v>30</v>
      </c>
      <c r="AN20" s="13" t="s">
        <v>235</v>
      </c>
      <c r="AO20" s="13" t="s">
        <v>30</v>
      </c>
      <c r="AP20" s="13" t="s">
        <v>235</v>
      </c>
      <c r="AQ20" s="13" t="s">
        <v>30</v>
      </c>
      <c r="AR20" s="13" t="s">
        <v>235</v>
      </c>
      <c r="AS20" s="13" t="s">
        <v>30</v>
      </c>
      <c r="AT20" s="13" t="s">
        <v>235</v>
      </c>
      <c r="AU20" s="13" t="s">
        <v>30</v>
      </c>
      <c r="AV20" s="13" t="s">
        <v>235</v>
      </c>
      <c r="AW20" s="13" t="s">
        <v>30</v>
      </c>
      <c r="AX20" s="13" t="s">
        <v>235</v>
      </c>
      <c r="AY20" s="13" t="s">
        <v>30</v>
      </c>
      <c r="AZ20" s="13" t="s">
        <v>235</v>
      </c>
      <c r="BA20" s="13" t="s">
        <v>30</v>
      </c>
      <c r="BB20" s="13" t="s">
        <v>235</v>
      </c>
      <c r="BC20" s="13" t="s">
        <v>30</v>
      </c>
      <c r="BD20" s="13" t="s">
        <v>235</v>
      </c>
      <c r="BE20" s="13" t="s">
        <v>30</v>
      </c>
      <c r="BF20" s="13" t="s">
        <v>235</v>
      </c>
      <c r="BG20" s="13" t="s">
        <v>30</v>
      </c>
      <c r="BH20" s="13" t="s">
        <v>235</v>
      </c>
      <c r="BI20" s="13" t="s">
        <v>30</v>
      </c>
      <c r="BJ20" s="13" t="s">
        <v>235</v>
      </c>
      <c r="BK20" s="13" t="s">
        <v>30</v>
      </c>
      <c r="BL20" s="13" t="s">
        <v>235</v>
      </c>
      <c r="BM20" s="13" t="s">
        <v>30</v>
      </c>
      <c r="BN20" s="13" t="s">
        <v>235</v>
      </c>
      <c r="BO20" s="13" t="s">
        <v>30</v>
      </c>
      <c r="BP20" s="13" t="s">
        <v>235</v>
      </c>
      <c r="BQ20" s="13" t="s">
        <v>30</v>
      </c>
      <c r="BR20" s="13" t="s">
        <v>235</v>
      </c>
      <c r="BS20" s="13" t="s">
        <v>30</v>
      </c>
      <c r="BT20" s="13" t="s">
        <v>235</v>
      </c>
      <c r="BU20" s="13" t="s">
        <v>30</v>
      </c>
      <c r="BV20" s="13" t="s">
        <v>235</v>
      </c>
      <c r="BW20" s="13" t="s">
        <v>30</v>
      </c>
      <c r="BX20" s="13" t="s">
        <v>235</v>
      </c>
      <c r="BY20" s="13" t="s">
        <v>30</v>
      </c>
      <c r="BZ20" s="13" t="s">
        <v>235</v>
      </c>
      <c r="CA20" s="13" t="s">
        <v>30</v>
      </c>
      <c r="CB20" s="13" t="s">
        <v>235</v>
      </c>
      <c r="CC20" s="13" t="s">
        <v>30</v>
      </c>
      <c r="CD20" s="13" t="s">
        <v>235</v>
      </c>
      <c r="CE20" s="13" t="s">
        <v>30</v>
      </c>
      <c r="CF20" s="13" t="s">
        <v>235</v>
      </c>
      <c r="CG20" s="13" t="s">
        <v>30</v>
      </c>
      <c r="CH20" s="13" t="s">
        <v>235</v>
      </c>
      <c r="CI20" s="13" t="s">
        <v>30</v>
      </c>
      <c r="CJ20" s="13" t="s">
        <v>235</v>
      </c>
      <c r="CK20" s="13" t="s">
        <v>30</v>
      </c>
      <c r="CL20" s="13" t="s">
        <v>235</v>
      </c>
      <c r="CM20" s="13" t="s">
        <v>30</v>
      </c>
      <c r="CN20" s="13" t="s">
        <v>235</v>
      </c>
      <c r="CO20" s="13" t="s">
        <v>30</v>
      </c>
      <c r="CP20" s="13" t="s">
        <v>235</v>
      </c>
      <c r="CQ20" s="13" t="s">
        <v>30</v>
      </c>
      <c r="CR20" s="13" t="s">
        <v>235</v>
      </c>
      <c r="CS20" s="13" t="s">
        <v>30</v>
      </c>
      <c r="CT20" s="13" t="s">
        <v>235</v>
      </c>
      <c r="CU20" s="13" t="s">
        <v>30</v>
      </c>
      <c r="CV20" s="13" t="s">
        <v>235</v>
      </c>
      <c r="CW20" s="13" t="s">
        <v>30</v>
      </c>
      <c r="CX20" s="13" t="s">
        <v>235</v>
      </c>
      <c r="CY20" s="13" t="s">
        <v>30</v>
      </c>
      <c r="CZ20" s="13" t="s">
        <v>235</v>
      </c>
      <c r="DA20" s="13" t="s">
        <v>30</v>
      </c>
      <c r="DB20" s="13" t="s">
        <v>235</v>
      </c>
      <c r="DC20" s="13" t="s">
        <v>30</v>
      </c>
      <c r="DD20" s="13" t="s">
        <v>235</v>
      </c>
      <c r="DE20" s="13" t="s">
        <v>30</v>
      </c>
      <c r="DF20" s="13" t="s">
        <v>235</v>
      </c>
      <c r="DG20" s="13" t="s">
        <v>30</v>
      </c>
      <c r="DH20" s="13" t="s">
        <v>235</v>
      </c>
      <c r="DI20" s="13" t="s">
        <v>30</v>
      </c>
      <c r="DJ20" s="13" t="s">
        <v>235</v>
      </c>
      <c r="DK20" s="13" t="s">
        <v>30</v>
      </c>
      <c r="DL20" s="13" t="s">
        <v>235</v>
      </c>
      <c r="DM20" s="13" t="s">
        <v>30</v>
      </c>
      <c r="DN20" s="13" t="s">
        <v>235</v>
      </c>
      <c r="DO20" s="13" t="s">
        <v>30</v>
      </c>
      <c r="DP20" s="13" t="s">
        <v>235</v>
      </c>
      <c r="DQ20" s="13" t="s">
        <v>30</v>
      </c>
      <c r="DR20" s="13" t="s">
        <v>235</v>
      </c>
      <c r="DS20" s="13" t="s">
        <v>30</v>
      </c>
      <c r="DT20" s="13" t="s">
        <v>235</v>
      </c>
      <c r="DU20" s="13" t="s">
        <v>30</v>
      </c>
      <c r="DV20" s="13" t="s">
        <v>235</v>
      </c>
      <c r="DW20" s="13" t="s">
        <v>30</v>
      </c>
      <c r="DX20" s="13" t="s">
        <v>235</v>
      </c>
      <c r="DY20" s="13" t="s">
        <v>30</v>
      </c>
      <c r="DZ20" s="13" t="s">
        <v>235</v>
      </c>
      <c r="EA20" s="13" t="s">
        <v>30</v>
      </c>
      <c r="EB20" s="13" t="s">
        <v>235</v>
      </c>
      <c r="EC20" s="13" t="s">
        <v>30</v>
      </c>
      <c r="ED20" s="13" t="s">
        <v>235</v>
      </c>
      <c r="EE20" s="13" t="s">
        <v>30</v>
      </c>
      <c r="EF20" s="13" t="s">
        <v>235</v>
      </c>
      <c r="EG20" s="13" t="s">
        <v>30</v>
      </c>
      <c r="EH20" s="13" t="s">
        <v>235</v>
      </c>
      <c r="EI20" s="13" t="s">
        <v>30</v>
      </c>
      <c r="EJ20" s="13" t="s">
        <v>235</v>
      </c>
      <c r="EK20" s="13" t="s">
        <v>30</v>
      </c>
      <c r="EL20" s="13" t="s">
        <v>235</v>
      </c>
      <c r="EM20" s="13" t="s">
        <v>30</v>
      </c>
      <c r="EN20" s="13" t="s">
        <v>235</v>
      </c>
      <c r="EO20" s="13" t="s">
        <v>30</v>
      </c>
      <c r="EP20" s="13" t="s">
        <v>235</v>
      </c>
      <c r="EQ20" s="13" t="s">
        <v>30</v>
      </c>
      <c r="ER20" s="13" t="s">
        <v>235</v>
      </c>
      <c r="ES20" s="13" t="s">
        <v>30</v>
      </c>
      <c r="ET20" s="13" t="s">
        <v>235</v>
      </c>
      <c r="EU20" s="13" t="s">
        <v>30</v>
      </c>
      <c r="EV20" s="13" t="s">
        <v>235</v>
      </c>
      <c r="EW20" s="13" t="s">
        <v>30</v>
      </c>
      <c r="EX20" s="13" t="s">
        <v>235</v>
      </c>
      <c r="EY20" s="13" t="s">
        <v>30</v>
      </c>
      <c r="EZ20" s="13" t="s">
        <v>235</v>
      </c>
      <c r="FA20" s="13" t="s">
        <v>30</v>
      </c>
      <c r="FB20" s="13" t="s">
        <v>235</v>
      </c>
      <c r="FC20" s="13" t="s">
        <v>30</v>
      </c>
      <c r="FD20" s="13" t="s">
        <v>235</v>
      </c>
      <c r="FE20" s="13" t="s">
        <v>30</v>
      </c>
      <c r="FF20" s="15">
        <v>166854</v>
      </c>
      <c r="FG20" s="13" t="s">
        <v>30</v>
      </c>
      <c r="FH20" s="15">
        <v>177681</v>
      </c>
      <c r="FI20" s="13" t="s">
        <v>30</v>
      </c>
      <c r="FJ20" s="15">
        <v>171387</v>
      </c>
      <c r="FK20" s="13" t="s">
        <v>30</v>
      </c>
      <c r="FL20" s="15">
        <v>184500</v>
      </c>
      <c r="FM20" s="13" t="s">
        <v>30</v>
      </c>
      <c r="FN20" s="15">
        <v>170933</v>
      </c>
      <c r="FO20" s="13" t="s">
        <v>30</v>
      </c>
      <c r="FP20" s="15">
        <v>181371</v>
      </c>
      <c r="FQ20" s="13" t="s">
        <v>30</v>
      </c>
      <c r="FR20" s="15">
        <v>176526</v>
      </c>
      <c r="FS20" s="13" t="s">
        <v>30</v>
      </c>
      <c r="FT20" s="15">
        <v>189717</v>
      </c>
      <c r="FU20" s="13" t="s">
        <v>30</v>
      </c>
      <c r="FV20" s="15">
        <v>174925</v>
      </c>
      <c r="FW20" s="13" t="s">
        <v>30</v>
      </c>
      <c r="FX20" s="15">
        <v>186936</v>
      </c>
      <c r="FY20" s="13" t="s">
        <v>30</v>
      </c>
      <c r="FZ20" s="15">
        <v>182815</v>
      </c>
      <c r="GA20" s="13" t="s">
        <v>30</v>
      </c>
      <c r="GB20" s="15">
        <v>198201</v>
      </c>
      <c r="GC20" s="13" t="s">
        <v>30</v>
      </c>
      <c r="GD20" s="15">
        <v>182845</v>
      </c>
      <c r="GE20" s="13" t="s">
        <v>30</v>
      </c>
      <c r="GF20" s="15">
        <v>194456</v>
      </c>
      <c r="GG20" s="13" t="s">
        <v>30</v>
      </c>
      <c r="GH20" s="15">
        <v>189782</v>
      </c>
      <c r="GI20" s="13" t="s">
        <v>30</v>
      </c>
      <c r="GJ20" s="15">
        <v>204415</v>
      </c>
      <c r="GK20" s="13" t="s">
        <v>30</v>
      </c>
      <c r="GL20" s="15">
        <v>190513</v>
      </c>
      <c r="GM20" s="13" t="s">
        <v>30</v>
      </c>
      <c r="GN20" s="15">
        <v>202887</v>
      </c>
      <c r="GO20" s="13" t="s">
        <v>30</v>
      </c>
      <c r="GP20" s="15">
        <v>198596</v>
      </c>
      <c r="GQ20" s="13" t="s">
        <v>30</v>
      </c>
      <c r="GR20" s="15">
        <v>212910</v>
      </c>
      <c r="GS20" s="13" t="s">
        <v>30</v>
      </c>
      <c r="GT20" s="15">
        <v>202145</v>
      </c>
      <c r="GU20" s="13" t="s">
        <v>30</v>
      </c>
      <c r="GV20" s="15">
        <v>214117</v>
      </c>
      <c r="GW20" s="13" t="s">
        <v>30</v>
      </c>
      <c r="GX20" s="15">
        <v>208053</v>
      </c>
      <c r="GY20" s="13" t="s">
        <v>30</v>
      </c>
      <c r="GZ20" s="15">
        <v>223309</v>
      </c>
      <c r="HA20" s="13" t="s">
        <v>30</v>
      </c>
      <c r="HB20" s="15">
        <v>211152</v>
      </c>
      <c r="HC20" s="13" t="s">
        <v>30</v>
      </c>
      <c r="HD20" s="15">
        <v>222279</v>
      </c>
      <c r="HE20" s="13" t="s">
        <v>30</v>
      </c>
      <c r="HF20" s="15">
        <v>216148</v>
      </c>
      <c r="HG20" s="13" t="s">
        <v>30</v>
      </c>
      <c r="HH20" s="15">
        <v>231702</v>
      </c>
      <c r="HI20" s="13" t="s">
        <v>30</v>
      </c>
      <c r="HJ20" s="15">
        <v>216382</v>
      </c>
      <c r="HK20" s="13" t="s">
        <v>30</v>
      </c>
      <c r="HL20" s="15">
        <v>229457</v>
      </c>
      <c r="HM20" s="13" t="s">
        <v>30</v>
      </c>
      <c r="HN20" s="15">
        <v>221505</v>
      </c>
      <c r="HO20" s="13" t="s">
        <v>30</v>
      </c>
      <c r="HP20" s="15">
        <v>237526</v>
      </c>
      <c r="HQ20" s="13" t="s">
        <v>30</v>
      </c>
      <c r="HR20" s="15">
        <v>224187</v>
      </c>
      <c r="HS20" s="13" t="s">
        <v>30</v>
      </c>
      <c r="HT20" s="15">
        <v>234416</v>
      </c>
      <c r="HU20" s="13" t="s">
        <v>30</v>
      </c>
      <c r="HV20" s="15">
        <v>227093</v>
      </c>
      <c r="HW20" s="13" t="s">
        <v>30</v>
      </c>
      <c r="HX20" s="15">
        <v>243270</v>
      </c>
      <c r="HY20" s="13" t="s">
        <v>30</v>
      </c>
      <c r="HZ20" s="15">
        <v>229073</v>
      </c>
      <c r="IA20" s="13" t="s">
        <v>30</v>
      </c>
      <c r="IB20" s="15">
        <v>241346</v>
      </c>
      <c r="IC20" s="13" t="s">
        <v>30</v>
      </c>
      <c r="ID20" s="15">
        <v>234453</v>
      </c>
      <c r="IE20" s="13" t="s">
        <v>30</v>
      </c>
      <c r="IF20" s="15">
        <v>250125</v>
      </c>
      <c r="IG20" s="13" t="s">
        <v>30</v>
      </c>
      <c r="IH20" s="15">
        <v>235716</v>
      </c>
      <c r="II20" s="13" t="s">
        <v>30</v>
      </c>
      <c r="IJ20" s="15">
        <v>249937</v>
      </c>
      <c r="IK20" s="13" t="s">
        <v>30</v>
      </c>
      <c r="IL20" s="15">
        <v>242190</v>
      </c>
      <c r="IM20" s="13" t="s">
        <v>30</v>
      </c>
      <c r="IN20" s="15">
        <v>259183</v>
      </c>
      <c r="IO20" s="13" t="s">
        <v>30</v>
      </c>
      <c r="IP20" s="15">
        <v>246568</v>
      </c>
      <c r="IQ20" s="13" t="s">
        <v>30</v>
      </c>
      <c r="IR20" s="15">
        <v>259522</v>
      </c>
      <c r="IS20" s="13" t="s">
        <v>30</v>
      </c>
      <c r="IT20" s="15">
        <v>251855</v>
      </c>
      <c r="IU20" s="13" t="s">
        <v>30</v>
      </c>
      <c r="IV20" s="15">
        <v>270364</v>
      </c>
      <c r="IW20" s="13" t="s">
        <v>30</v>
      </c>
      <c r="IX20" s="15">
        <v>256126</v>
      </c>
      <c r="IY20" s="13" t="s">
        <v>30</v>
      </c>
      <c r="IZ20" s="15">
        <v>269941</v>
      </c>
      <c r="JA20" s="13" t="s">
        <v>30</v>
      </c>
      <c r="JB20" s="15">
        <v>261776</v>
      </c>
      <c r="JC20" s="13" t="s">
        <v>30</v>
      </c>
      <c r="JD20" s="15">
        <v>281295</v>
      </c>
      <c r="JE20" s="13" t="s">
        <v>30</v>
      </c>
      <c r="JF20" s="15">
        <v>262135</v>
      </c>
      <c r="JG20" s="13" t="s">
        <v>30</v>
      </c>
      <c r="JH20" s="15">
        <v>275629</v>
      </c>
      <c r="JI20" s="13" t="s">
        <v>30</v>
      </c>
      <c r="JJ20" s="15">
        <v>265177</v>
      </c>
      <c r="JK20" s="13" t="s">
        <v>30</v>
      </c>
      <c r="JL20" s="15">
        <v>277994</v>
      </c>
      <c r="JM20" s="13" t="s">
        <v>30</v>
      </c>
      <c r="JN20" s="15">
        <v>251881</v>
      </c>
      <c r="JO20" s="13" t="s">
        <v>30</v>
      </c>
      <c r="JP20" s="15">
        <v>264701</v>
      </c>
      <c r="JQ20" s="13" t="s">
        <v>30</v>
      </c>
      <c r="JR20" s="15">
        <v>257387</v>
      </c>
      <c r="JS20" s="13" t="s">
        <v>30</v>
      </c>
      <c r="JT20" s="15">
        <v>271660</v>
      </c>
      <c r="JU20" s="13" t="s">
        <v>30</v>
      </c>
      <c r="JV20" s="15">
        <v>251629</v>
      </c>
      <c r="JW20" s="13" t="s">
        <v>30</v>
      </c>
      <c r="JX20" s="15">
        <v>264234</v>
      </c>
      <c r="JY20" s="13" t="s">
        <v>30</v>
      </c>
      <c r="JZ20" s="15">
        <v>256990</v>
      </c>
      <c r="KA20" s="13" t="s">
        <v>30</v>
      </c>
      <c r="KB20" s="15">
        <v>270943</v>
      </c>
      <c r="KC20" s="13" t="s">
        <v>30</v>
      </c>
      <c r="KD20" s="15">
        <v>252852</v>
      </c>
      <c r="KE20" s="13" t="s">
        <v>30</v>
      </c>
      <c r="KF20" s="15">
        <v>264476</v>
      </c>
      <c r="KG20" s="13" t="s">
        <v>30</v>
      </c>
      <c r="KH20" s="15">
        <v>256911</v>
      </c>
      <c r="KI20" s="13" t="s">
        <v>30</v>
      </c>
      <c r="KJ20" s="15">
        <v>266933</v>
      </c>
      <c r="KK20" s="13" t="s">
        <v>30</v>
      </c>
      <c r="KL20" s="15">
        <v>248046</v>
      </c>
      <c r="KM20" s="13" t="s">
        <v>30</v>
      </c>
      <c r="KN20" s="15">
        <v>256313</v>
      </c>
      <c r="KO20" s="13" t="s">
        <v>30</v>
      </c>
      <c r="KP20" s="15">
        <v>249817</v>
      </c>
      <c r="KQ20" s="13" t="s">
        <v>30</v>
      </c>
      <c r="KR20" s="15">
        <v>257974</v>
      </c>
      <c r="KS20" s="13" t="s">
        <v>30</v>
      </c>
      <c r="KT20" s="15">
        <v>241062</v>
      </c>
      <c r="KU20" s="13" t="s">
        <v>30</v>
      </c>
      <c r="KV20" s="15">
        <v>253579</v>
      </c>
      <c r="KW20" s="13" t="s">
        <v>30</v>
      </c>
      <c r="KX20" s="15">
        <v>247885</v>
      </c>
      <c r="KY20" s="13" t="s">
        <v>30</v>
      </c>
      <c r="KZ20" s="15">
        <v>256704</v>
      </c>
      <c r="LA20" s="13" t="s">
        <v>30</v>
      </c>
      <c r="LB20" s="15">
        <v>242484</v>
      </c>
      <c r="LC20" s="13" t="s">
        <v>30</v>
      </c>
      <c r="LD20" s="15">
        <v>254858</v>
      </c>
      <c r="LE20" s="13" t="s">
        <v>30</v>
      </c>
      <c r="LF20" s="15">
        <v>251054</v>
      </c>
      <c r="LG20" s="13" t="s">
        <v>30</v>
      </c>
      <c r="LH20" s="15">
        <v>261638</v>
      </c>
      <c r="LI20" s="13" t="s">
        <v>30</v>
      </c>
      <c r="LJ20" s="15">
        <v>249458</v>
      </c>
      <c r="LK20" s="13" t="s">
        <v>30</v>
      </c>
      <c r="LL20" s="15">
        <v>264128</v>
      </c>
      <c r="LM20" s="13" t="s">
        <v>30</v>
      </c>
      <c r="LN20" s="15">
        <v>260712</v>
      </c>
      <c r="LO20" s="13" t="s">
        <v>30</v>
      </c>
      <c r="LP20" s="15">
        <v>271463</v>
      </c>
      <c r="LQ20" s="13" t="s">
        <v>30</v>
      </c>
      <c r="LR20" s="15">
        <v>257526</v>
      </c>
      <c r="LS20" s="13" t="s">
        <v>30</v>
      </c>
      <c r="LT20" s="15">
        <v>271762</v>
      </c>
      <c r="LU20" s="13" t="s">
        <v>30</v>
      </c>
      <c r="LV20" s="15">
        <v>267704</v>
      </c>
      <c r="LW20" s="13" t="s">
        <v>30</v>
      </c>
      <c r="LX20" s="15">
        <v>276537</v>
      </c>
      <c r="LY20" s="13" t="s">
        <v>30</v>
      </c>
      <c r="LZ20" s="15">
        <v>263405</v>
      </c>
      <c r="MA20" s="13" t="s">
        <v>30</v>
      </c>
      <c r="MB20" s="15">
        <v>280732</v>
      </c>
      <c r="MC20" s="13" t="s">
        <v>30</v>
      </c>
      <c r="MD20" s="15">
        <v>276020</v>
      </c>
      <c r="ME20" s="13" t="s">
        <v>30</v>
      </c>
      <c r="MF20" s="15">
        <v>285848</v>
      </c>
      <c r="MG20" s="13" t="s">
        <v>30</v>
      </c>
      <c r="MH20" s="15">
        <v>270370</v>
      </c>
      <c r="MI20" s="13" t="s">
        <v>30</v>
      </c>
      <c r="MJ20" s="15">
        <v>287948</v>
      </c>
      <c r="MK20" s="13" t="s">
        <v>30</v>
      </c>
      <c r="ML20" s="15">
        <v>281557</v>
      </c>
      <c r="MM20" s="13" t="s">
        <v>30</v>
      </c>
      <c r="MN20" s="15">
        <v>293267</v>
      </c>
      <c r="MO20" s="13" t="s">
        <v>30</v>
      </c>
      <c r="MP20" s="15">
        <v>278225</v>
      </c>
      <c r="MQ20" s="13" t="s">
        <v>30</v>
      </c>
      <c r="MR20" s="15">
        <v>293438</v>
      </c>
      <c r="MS20" s="13" t="s">
        <v>30</v>
      </c>
      <c r="MT20" s="15">
        <v>286907</v>
      </c>
      <c r="MU20" s="13" t="s">
        <v>30</v>
      </c>
      <c r="MV20" s="15">
        <v>298054</v>
      </c>
      <c r="MW20" s="13" t="s">
        <v>30</v>
      </c>
      <c r="MX20" s="15">
        <v>267656</v>
      </c>
      <c r="MY20" s="13" t="s">
        <v>30</v>
      </c>
      <c r="MZ20" s="15">
        <v>229779</v>
      </c>
      <c r="NA20" s="13" t="s">
        <v>30</v>
      </c>
      <c r="NB20" s="15">
        <v>261804</v>
      </c>
      <c r="NC20" s="13" t="s">
        <v>30</v>
      </c>
      <c r="ND20" s="15">
        <v>271725</v>
      </c>
      <c r="NE20" s="13" t="s">
        <v>30</v>
      </c>
      <c r="NF20" s="15">
        <v>257178</v>
      </c>
      <c r="NG20" s="13" t="s">
        <v>30</v>
      </c>
      <c r="NH20" s="15">
        <v>273085</v>
      </c>
      <c r="NI20" s="13" t="s">
        <v>30</v>
      </c>
      <c r="NJ20" s="15">
        <v>275294</v>
      </c>
      <c r="NK20" s="13" t="s">
        <v>30</v>
      </c>
      <c r="NL20" s="15">
        <v>290180</v>
      </c>
      <c r="NM20" s="13" t="s">
        <v>30</v>
      </c>
      <c r="NN20" s="15">
        <v>277039</v>
      </c>
      <c r="NO20" s="13" t="s">
        <v>237</v>
      </c>
      <c r="NP20" s="15">
        <v>294469</v>
      </c>
      <c r="NQ20" s="13" t="s">
        <v>237</v>
      </c>
      <c r="NR20" s="15">
        <v>294286</v>
      </c>
      <c r="NS20" s="13" t="s">
        <v>237</v>
      </c>
      <c r="NT20" s="15">
        <v>305666</v>
      </c>
      <c r="NU20" s="13" t="s">
        <v>237</v>
      </c>
      <c r="NV20" s="15">
        <v>289116</v>
      </c>
      <c r="NW20" s="13" t="s">
        <v>237</v>
      </c>
      <c r="NX20" s="15">
        <v>300649</v>
      </c>
      <c r="NY20" s="13" t="s">
        <v>237</v>
      </c>
      <c r="NZ20" s="15">
        <v>299599</v>
      </c>
      <c r="OA20" s="13" t="s">
        <v>237</v>
      </c>
      <c r="OB20" s="15">
        <v>312868</v>
      </c>
      <c r="OC20" s="13" t="s">
        <v>237</v>
      </c>
      <c r="OD20" s="15">
        <v>298454</v>
      </c>
      <c r="OE20" s="13" t="s">
        <v>237</v>
      </c>
      <c r="OF20" s="15">
        <v>314230</v>
      </c>
      <c r="OG20" s="13" t="s">
        <v>237</v>
      </c>
      <c r="OH20" s="15">
        <v>311632</v>
      </c>
      <c r="OI20" s="13" t="s">
        <v>237</v>
      </c>
      <c r="OJ20" s="15">
        <v>324895</v>
      </c>
      <c r="OK20" s="13" t="s">
        <v>237</v>
      </c>
      <c r="OL20" s="15">
        <v>307256</v>
      </c>
      <c r="OM20" s="13" t="s">
        <v>237</v>
      </c>
      <c r="ON20" s="15">
        <v>323648</v>
      </c>
      <c r="OO20" s="13" t="s">
        <v>237</v>
      </c>
      <c r="OP20" s="15">
        <v>321488</v>
      </c>
      <c r="OQ20" s="13" t="s">
        <v>237</v>
      </c>
    </row>
    <row r="21" spans="1:407" x14ac:dyDescent="0.3">
      <c r="A21" s="12" t="s">
        <v>246</v>
      </c>
      <c r="B21" s="16" t="s">
        <v>235</v>
      </c>
      <c r="C21" s="16" t="s">
        <v>30</v>
      </c>
      <c r="D21" s="16" t="s">
        <v>235</v>
      </c>
      <c r="E21" s="16" t="s">
        <v>30</v>
      </c>
      <c r="F21" s="16" t="s">
        <v>235</v>
      </c>
      <c r="G21" s="16" t="s">
        <v>30</v>
      </c>
      <c r="H21" s="16" t="s">
        <v>235</v>
      </c>
      <c r="I21" s="16" t="s">
        <v>30</v>
      </c>
      <c r="J21" s="16" t="s">
        <v>235</v>
      </c>
      <c r="K21" s="16" t="s">
        <v>30</v>
      </c>
      <c r="L21" s="16" t="s">
        <v>235</v>
      </c>
      <c r="M21" s="16" t="s">
        <v>30</v>
      </c>
      <c r="N21" s="16" t="s">
        <v>235</v>
      </c>
      <c r="O21" s="16" t="s">
        <v>30</v>
      </c>
      <c r="P21" s="16" t="s">
        <v>235</v>
      </c>
      <c r="Q21" s="16" t="s">
        <v>30</v>
      </c>
      <c r="R21" s="16" t="s">
        <v>235</v>
      </c>
      <c r="S21" s="16" t="s">
        <v>30</v>
      </c>
      <c r="T21" s="16" t="s">
        <v>235</v>
      </c>
      <c r="U21" s="16" t="s">
        <v>30</v>
      </c>
      <c r="V21" s="16" t="s">
        <v>235</v>
      </c>
      <c r="W21" s="16" t="s">
        <v>30</v>
      </c>
      <c r="X21" s="16" t="s">
        <v>235</v>
      </c>
      <c r="Y21" s="16" t="s">
        <v>30</v>
      </c>
      <c r="Z21" s="16" t="s">
        <v>235</v>
      </c>
      <c r="AA21" s="16" t="s">
        <v>30</v>
      </c>
      <c r="AB21" s="16" t="s">
        <v>235</v>
      </c>
      <c r="AC21" s="16" t="s">
        <v>30</v>
      </c>
      <c r="AD21" s="16" t="s">
        <v>235</v>
      </c>
      <c r="AE21" s="16" t="s">
        <v>30</v>
      </c>
      <c r="AF21" s="16" t="s">
        <v>235</v>
      </c>
      <c r="AG21" s="16" t="s">
        <v>30</v>
      </c>
      <c r="AH21" s="16" t="s">
        <v>235</v>
      </c>
      <c r="AI21" s="16" t="s">
        <v>30</v>
      </c>
      <c r="AJ21" s="16" t="s">
        <v>235</v>
      </c>
      <c r="AK21" s="16" t="s">
        <v>30</v>
      </c>
      <c r="AL21" s="16" t="s">
        <v>235</v>
      </c>
      <c r="AM21" s="16" t="s">
        <v>30</v>
      </c>
      <c r="AN21" s="16" t="s">
        <v>235</v>
      </c>
      <c r="AO21" s="16" t="s">
        <v>30</v>
      </c>
      <c r="AP21" s="17">
        <v>270738.90000000002</v>
      </c>
      <c r="AQ21" s="16" t="s">
        <v>30</v>
      </c>
      <c r="AR21" s="17">
        <v>272973.90000000002</v>
      </c>
      <c r="AS21" s="16" t="s">
        <v>30</v>
      </c>
      <c r="AT21" s="17">
        <v>257428.8</v>
      </c>
      <c r="AU21" s="16" t="s">
        <v>30</v>
      </c>
      <c r="AV21" s="18">
        <v>279792</v>
      </c>
      <c r="AW21" s="16" t="s">
        <v>30</v>
      </c>
      <c r="AX21" s="17">
        <v>270574.2</v>
      </c>
      <c r="AY21" s="16" t="s">
        <v>30</v>
      </c>
      <c r="AZ21" s="17">
        <v>275965.40000000002</v>
      </c>
      <c r="BA21" s="16" t="s">
        <v>30</v>
      </c>
      <c r="BB21" s="17">
        <v>261773.2</v>
      </c>
      <c r="BC21" s="16" t="s">
        <v>30</v>
      </c>
      <c r="BD21" s="17">
        <v>286398.3</v>
      </c>
      <c r="BE21" s="16" t="s">
        <v>30</v>
      </c>
      <c r="BF21" s="17">
        <v>277775.5</v>
      </c>
      <c r="BG21" s="16" t="s">
        <v>30</v>
      </c>
      <c r="BH21" s="17">
        <v>283707.59999999998</v>
      </c>
      <c r="BI21" s="16" t="s">
        <v>30</v>
      </c>
      <c r="BJ21" s="17">
        <v>267304.8</v>
      </c>
      <c r="BK21" s="16" t="s">
        <v>30</v>
      </c>
      <c r="BL21" s="17">
        <v>291361.3</v>
      </c>
      <c r="BM21" s="16" t="s">
        <v>30</v>
      </c>
      <c r="BN21" s="17">
        <v>282995.3</v>
      </c>
      <c r="BO21" s="16" t="s">
        <v>30</v>
      </c>
      <c r="BP21" s="17">
        <v>286651.5</v>
      </c>
      <c r="BQ21" s="16" t="s">
        <v>30</v>
      </c>
      <c r="BR21" s="17">
        <v>270513.2</v>
      </c>
      <c r="BS21" s="16" t="s">
        <v>30</v>
      </c>
      <c r="BT21" s="17">
        <v>294536.40000000002</v>
      </c>
      <c r="BU21" s="16" t="s">
        <v>30</v>
      </c>
      <c r="BV21" s="17">
        <v>287864.7</v>
      </c>
      <c r="BW21" s="16" t="s">
        <v>30</v>
      </c>
      <c r="BX21" s="18">
        <v>289667</v>
      </c>
      <c r="BY21" s="16" t="s">
        <v>30</v>
      </c>
      <c r="BZ21" s="17">
        <v>276769.09999999998</v>
      </c>
      <c r="CA21" s="16" t="s">
        <v>30</v>
      </c>
      <c r="CB21" s="17">
        <v>299455.2</v>
      </c>
      <c r="CC21" s="16" t="s">
        <v>30</v>
      </c>
      <c r="CD21" s="17">
        <v>290274.40000000002</v>
      </c>
      <c r="CE21" s="16" t="s">
        <v>30</v>
      </c>
      <c r="CF21" s="17">
        <v>294313.5</v>
      </c>
      <c r="CG21" s="16" t="s">
        <v>30</v>
      </c>
      <c r="CH21" s="17">
        <v>282316.3</v>
      </c>
      <c r="CI21" s="16" t="s">
        <v>30</v>
      </c>
      <c r="CJ21" s="17">
        <v>304484.2</v>
      </c>
      <c r="CK21" s="16" t="s">
        <v>30</v>
      </c>
      <c r="CL21" s="17">
        <v>295336.09999999998</v>
      </c>
      <c r="CM21" s="16" t="s">
        <v>30</v>
      </c>
      <c r="CN21" s="17">
        <v>302288.5</v>
      </c>
      <c r="CO21" s="16" t="s">
        <v>30</v>
      </c>
      <c r="CP21" s="18">
        <v>288026</v>
      </c>
      <c r="CQ21" s="16" t="s">
        <v>30</v>
      </c>
      <c r="CR21" s="18">
        <v>310636</v>
      </c>
      <c r="CS21" s="16" t="s">
        <v>30</v>
      </c>
      <c r="CT21" s="17">
        <v>300542.90000000002</v>
      </c>
      <c r="CU21" s="16" t="s">
        <v>30</v>
      </c>
      <c r="CV21" s="17">
        <v>306045.8</v>
      </c>
      <c r="CW21" s="16" t="s">
        <v>30</v>
      </c>
      <c r="CX21" s="17">
        <v>294411.8</v>
      </c>
      <c r="CY21" s="16" t="s">
        <v>30</v>
      </c>
      <c r="CZ21" s="17">
        <v>321188.3</v>
      </c>
      <c r="DA21" s="16" t="s">
        <v>30</v>
      </c>
      <c r="DB21" s="17">
        <v>314960.2</v>
      </c>
      <c r="DC21" s="16" t="s">
        <v>30</v>
      </c>
      <c r="DD21" s="17">
        <v>320721.59999999998</v>
      </c>
      <c r="DE21" s="16" t="s">
        <v>30</v>
      </c>
      <c r="DF21" s="17">
        <v>308632.40000000002</v>
      </c>
      <c r="DG21" s="16" t="s">
        <v>30</v>
      </c>
      <c r="DH21" s="17">
        <v>333340.40000000002</v>
      </c>
      <c r="DI21" s="16" t="s">
        <v>30</v>
      </c>
      <c r="DJ21" s="17">
        <v>328786.7</v>
      </c>
      <c r="DK21" s="16" t="s">
        <v>30</v>
      </c>
      <c r="DL21" s="17">
        <v>335142.90000000002</v>
      </c>
      <c r="DM21" s="16" t="s">
        <v>30</v>
      </c>
      <c r="DN21" s="17">
        <v>322694.5</v>
      </c>
      <c r="DO21" s="16" t="s">
        <v>30</v>
      </c>
      <c r="DP21" s="17">
        <v>350804.8</v>
      </c>
      <c r="DQ21" s="16" t="s">
        <v>30</v>
      </c>
      <c r="DR21" s="17">
        <v>340894.8</v>
      </c>
      <c r="DS21" s="16" t="s">
        <v>30</v>
      </c>
      <c r="DT21" s="17">
        <v>346252.6</v>
      </c>
      <c r="DU21" s="16" t="s">
        <v>30</v>
      </c>
      <c r="DV21" s="17">
        <v>333830.7</v>
      </c>
      <c r="DW21" s="16" t="s">
        <v>30</v>
      </c>
      <c r="DX21" s="17">
        <v>355861.6</v>
      </c>
      <c r="DY21" s="16" t="s">
        <v>30</v>
      </c>
      <c r="DZ21" s="17">
        <v>345759.8</v>
      </c>
      <c r="EA21" s="16" t="s">
        <v>30</v>
      </c>
      <c r="EB21" s="17">
        <v>350086.9</v>
      </c>
      <c r="EC21" s="16" t="s">
        <v>30</v>
      </c>
      <c r="ED21" s="17">
        <v>338671.9</v>
      </c>
      <c r="EE21" s="16" t="s">
        <v>30</v>
      </c>
      <c r="EF21" s="17">
        <v>360153.2</v>
      </c>
      <c r="EG21" s="16" t="s">
        <v>30</v>
      </c>
      <c r="EH21" s="17">
        <v>353999.2</v>
      </c>
      <c r="EI21" s="16" t="s">
        <v>30</v>
      </c>
      <c r="EJ21" s="17">
        <v>356780.1</v>
      </c>
      <c r="EK21" s="16" t="s">
        <v>30</v>
      </c>
      <c r="EL21" s="17">
        <v>344741.9</v>
      </c>
      <c r="EM21" s="16" t="s">
        <v>30</v>
      </c>
      <c r="EN21" s="17">
        <v>364411.9</v>
      </c>
      <c r="EO21" s="16" t="s">
        <v>30</v>
      </c>
      <c r="EP21" s="17">
        <v>352388.1</v>
      </c>
      <c r="EQ21" s="16" t="s">
        <v>30</v>
      </c>
      <c r="ER21" s="17">
        <v>356631.9</v>
      </c>
      <c r="ES21" s="16" t="s">
        <v>30</v>
      </c>
      <c r="ET21" s="17">
        <v>343922.2</v>
      </c>
      <c r="EU21" s="16" t="s">
        <v>30</v>
      </c>
      <c r="EV21" s="17">
        <v>362705.8</v>
      </c>
      <c r="EW21" s="16" t="s">
        <v>30</v>
      </c>
      <c r="EX21" s="17">
        <v>356230.6</v>
      </c>
      <c r="EY21" s="16" t="s">
        <v>30</v>
      </c>
      <c r="EZ21" s="17">
        <v>363520.3</v>
      </c>
      <c r="FA21" s="16" t="s">
        <v>30</v>
      </c>
      <c r="FB21" s="18">
        <v>351150</v>
      </c>
      <c r="FC21" s="16" t="s">
        <v>30</v>
      </c>
      <c r="FD21" s="17">
        <v>374015.2</v>
      </c>
      <c r="FE21" s="16" t="s">
        <v>30</v>
      </c>
      <c r="FF21" s="17">
        <v>369722.2</v>
      </c>
      <c r="FG21" s="16" t="s">
        <v>30</v>
      </c>
      <c r="FH21" s="17">
        <v>372741.9</v>
      </c>
      <c r="FI21" s="16" t="s">
        <v>30</v>
      </c>
      <c r="FJ21" s="17">
        <v>358457.8</v>
      </c>
      <c r="FK21" s="16" t="s">
        <v>30</v>
      </c>
      <c r="FL21" s="17">
        <v>379621.7</v>
      </c>
      <c r="FM21" s="16" t="s">
        <v>30</v>
      </c>
      <c r="FN21" s="17">
        <v>374511.7</v>
      </c>
      <c r="FO21" s="16" t="s">
        <v>30</v>
      </c>
      <c r="FP21" s="17">
        <v>377401.4</v>
      </c>
      <c r="FQ21" s="16" t="s">
        <v>30</v>
      </c>
      <c r="FR21" s="17">
        <v>365361.7</v>
      </c>
      <c r="FS21" s="16" t="s">
        <v>30</v>
      </c>
      <c r="FT21" s="17">
        <v>384981.5</v>
      </c>
      <c r="FU21" s="16" t="s">
        <v>30</v>
      </c>
      <c r="FV21" s="17">
        <v>377300.3</v>
      </c>
      <c r="FW21" s="16" t="s">
        <v>30</v>
      </c>
      <c r="FX21" s="17">
        <v>387942.2</v>
      </c>
      <c r="FY21" s="16" t="s">
        <v>30</v>
      </c>
      <c r="FZ21" s="17">
        <v>375579.6</v>
      </c>
      <c r="GA21" s="16" t="s">
        <v>30</v>
      </c>
      <c r="GB21" s="17">
        <v>399200.8</v>
      </c>
      <c r="GC21" s="16" t="s">
        <v>30</v>
      </c>
      <c r="GD21" s="18">
        <v>394224</v>
      </c>
      <c r="GE21" s="16" t="s">
        <v>30</v>
      </c>
      <c r="GF21" s="17">
        <v>399785.6</v>
      </c>
      <c r="GG21" s="16" t="s">
        <v>30</v>
      </c>
      <c r="GH21" s="18">
        <v>389336</v>
      </c>
      <c r="GI21" s="16" t="s">
        <v>30</v>
      </c>
      <c r="GJ21" s="17">
        <v>410893.8</v>
      </c>
      <c r="GK21" s="16" t="s">
        <v>30</v>
      </c>
      <c r="GL21" s="17">
        <v>403711.1</v>
      </c>
      <c r="GM21" s="16" t="s">
        <v>30</v>
      </c>
      <c r="GN21" s="17">
        <v>411748.5</v>
      </c>
      <c r="GO21" s="16" t="s">
        <v>30</v>
      </c>
      <c r="GP21" s="17">
        <v>403641.3</v>
      </c>
      <c r="GQ21" s="16" t="s">
        <v>30</v>
      </c>
      <c r="GR21" s="17">
        <v>429622.3</v>
      </c>
      <c r="GS21" s="16" t="s">
        <v>30</v>
      </c>
      <c r="GT21" s="17">
        <v>423772.4</v>
      </c>
      <c r="GU21" s="16" t="s">
        <v>30</v>
      </c>
      <c r="GV21" s="17">
        <v>428949.2</v>
      </c>
      <c r="GW21" s="16" t="s">
        <v>30</v>
      </c>
      <c r="GX21" s="17">
        <v>418321.5</v>
      </c>
      <c r="GY21" s="16" t="s">
        <v>30</v>
      </c>
      <c r="GZ21" s="17">
        <v>445760.7</v>
      </c>
      <c r="HA21" s="16" t="s">
        <v>30</v>
      </c>
      <c r="HB21" s="17">
        <v>436739.3</v>
      </c>
      <c r="HC21" s="16" t="s">
        <v>30</v>
      </c>
      <c r="HD21" s="17">
        <v>436797.9</v>
      </c>
      <c r="HE21" s="16" t="s">
        <v>30</v>
      </c>
      <c r="HF21" s="17">
        <v>425854.6</v>
      </c>
      <c r="HG21" s="16" t="s">
        <v>30</v>
      </c>
      <c r="HH21" s="18">
        <v>449720</v>
      </c>
      <c r="HI21" s="16" t="s">
        <v>30</v>
      </c>
      <c r="HJ21" s="17">
        <v>438664.1</v>
      </c>
      <c r="HK21" s="16" t="s">
        <v>30</v>
      </c>
      <c r="HL21" s="17">
        <v>441486.8</v>
      </c>
      <c r="HM21" s="16" t="s">
        <v>30</v>
      </c>
      <c r="HN21" s="17">
        <v>432734.1</v>
      </c>
      <c r="HO21" s="16" t="s">
        <v>30</v>
      </c>
      <c r="HP21" s="17">
        <v>454217.8</v>
      </c>
      <c r="HQ21" s="16" t="s">
        <v>30</v>
      </c>
      <c r="HR21" s="17">
        <v>443303.4</v>
      </c>
      <c r="HS21" s="16" t="s">
        <v>30</v>
      </c>
      <c r="HT21" s="17">
        <v>441941.7</v>
      </c>
      <c r="HU21" s="16" t="s">
        <v>30</v>
      </c>
      <c r="HV21" s="17">
        <v>435860.1</v>
      </c>
      <c r="HW21" s="16" t="s">
        <v>30</v>
      </c>
      <c r="HX21" s="17">
        <v>461801.8</v>
      </c>
      <c r="HY21" s="16" t="s">
        <v>30</v>
      </c>
      <c r="HZ21" s="17">
        <v>455097.5</v>
      </c>
      <c r="IA21" s="16" t="s">
        <v>30</v>
      </c>
      <c r="IB21" s="17">
        <v>459424.1</v>
      </c>
      <c r="IC21" s="16" t="s">
        <v>30</v>
      </c>
      <c r="ID21" s="17">
        <v>449393.4</v>
      </c>
      <c r="IE21" s="16" t="s">
        <v>30</v>
      </c>
      <c r="IF21" s="17">
        <v>473800.9</v>
      </c>
      <c r="IG21" s="16" t="s">
        <v>30</v>
      </c>
      <c r="IH21" s="17">
        <v>461426.9</v>
      </c>
      <c r="II21" s="16" t="s">
        <v>30</v>
      </c>
      <c r="IJ21" s="17">
        <v>469525.2</v>
      </c>
      <c r="IK21" s="16" t="s">
        <v>30</v>
      </c>
      <c r="IL21" s="17">
        <v>457476.8</v>
      </c>
      <c r="IM21" s="16" t="s">
        <v>30</v>
      </c>
      <c r="IN21" s="17">
        <v>481281.4</v>
      </c>
      <c r="IO21" s="16" t="s">
        <v>30</v>
      </c>
      <c r="IP21" s="17">
        <v>472725.6</v>
      </c>
      <c r="IQ21" s="16" t="s">
        <v>30</v>
      </c>
      <c r="IR21" s="18">
        <v>481819</v>
      </c>
      <c r="IS21" s="16" t="s">
        <v>30</v>
      </c>
      <c r="IT21" s="17">
        <v>469553.3</v>
      </c>
      <c r="IU21" s="16" t="s">
        <v>30</v>
      </c>
      <c r="IV21" s="17">
        <v>496676.4</v>
      </c>
      <c r="IW21" s="16" t="s">
        <v>30</v>
      </c>
      <c r="IX21" s="17">
        <v>486699.8</v>
      </c>
      <c r="IY21" s="16" t="s">
        <v>30</v>
      </c>
      <c r="IZ21" s="17">
        <v>493423.8</v>
      </c>
      <c r="JA21" s="16" t="s">
        <v>30</v>
      </c>
      <c r="JB21" s="17">
        <v>483349.7</v>
      </c>
      <c r="JC21" s="16" t="s">
        <v>30</v>
      </c>
      <c r="JD21" s="17">
        <v>508202.8</v>
      </c>
      <c r="JE21" s="16" t="s">
        <v>30</v>
      </c>
      <c r="JF21" s="17">
        <v>494603.7</v>
      </c>
      <c r="JG21" s="16" t="s">
        <v>30</v>
      </c>
      <c r="JH21" s="17">
        <v>500336.9</v>
      </c>
      <c r="JI21" s="16" t="s">
        <v>30</v>
      </c>
      <c r="JJ21" s="17">
        <v>486533.4</v>
      </c>
      <c r="JK21" s="16" t="s">
        <v>30</v>
      </c>
      <c r="JL21" s="17">
        <v>502679.1</v>
      </c>
      <c r="JM21" s="16" t="s">
        <v>30</v>
      </c>
      <c r="JN21" s="17">
        <v>475478.3</v>
      </c>
      <c r="JO21" s="16" t="s">
        <v>30</v>
      </c>
      <c r="JP21" s="17">
        <v>481973.8</v>
      </c>
      <c r="JQ21" s="16" t="s">
        <v>30</v>
      </c>
      <c r="JR21" s="17">
        <v>475443.8</v>
      </c>
      <c r="JS21" s="16" t="s">
        <v>30</v>
      </c>
      <c r="JT21" s="17">
        <v>499280.5</v>
      </c>
      <c r="JU21" s="16" t="s">
        <v>30</v>
      </c>
      <c r="JV21" s="17">
        <v>480941.8</v>
      </c>
      <c r="JW21" s="16" t="s">
        <v>30</v>
      </c>
      <c r="JX21" s="17">
        <v>492505.59999999998</v>
      </c>
      <c r="JY21" s="16" t="s">
        <v>30</v>
      </c>
      <c r="JZ21" s="17">
        <v>484819.8</v>
      </c>
      <c r="KA21" s="16" t="s">
        <v>30</v>
      </c>
      <c r="KB21" s="17">
        <v>508582.9</v>
      </c>
      <c r="KC21" s="16" t="s">
        <v>30</v>
      </c>
      <c r="KD21" s="17">
        <v>497731.6</v>
      </c>
      <c r="KE21" s="16" t="s">
        <v>30</v>
      </c>
      <c r="KF21" s="17">
        <v>505444.5</v>
      </c>
      <c r="KG21" s="16" t="s">
        <v>30</v>
      </c>
      <c r="KH21" s="17">
        <v>495250.8</v>
      </c>
      <c r="KI21" s="16" t="s">
        <v>30</v>
      </c>
      <c r="KJ21" s="17">
        <v>518272.4</v>
      </c>
      <c r="KK21" s="16" t="s">
        <v>30</v>
      </c>
      <c r="KL21" s="17">
        <v>504069.9</v>
      </c>
      <c r="KM21" s="16" t="s">
        <v>30</v>
      </c>
      <c r="KN21" s="17">
        <v>504984.8</v>
      </c>
      <c r="KO21" s="16" t="s">
        <v>30</v>
      </c>
      <c r="KP21" s="17">
        <v>496560.2</v>
      </c>
      <c r="KQ21" s="16" t="s">
        <v>30</v>
      </c>
      <c r="KR21" s="18">
        <v>519090</v>
      </c>
      <c r="KS21" s="16" t="s">
        <v>30</v>
      </c>
      <c r="KT21" s="17">
        <v>501591.4</v>
      </c>
      <c r="KU21" s="16" t="s">
        <v>30</v>
      </c>
      <c r="KV21" s="17">
        <v>511681.4</v>
      </c>
      <c r="KW21" s="16" t="s">
        <v>30</v>
      </c>
      <c r="KX21" s="17">
        <v>503008.5</v>
      </c>
      <c r="KY21" s="16" t="s">
        <v>30</v>
      </c>
      <c r="KZ21" s="17">
        <v>525116.4</v>
      </c>
      <c r="LA21" s="16" t="s">
        <v>30</v>
      </c>
      <c r="LB21" s="17">
        <v>508829.6</v>
      </c>
      <c r="LC21" s="16" t="s">
        <v>30</v>
      </c>
      <c r="LD21" s="17">
        <v>515416.2</v>
      </c>
      <c r="LE21" s="16" t="s">
        <v>30</v>
      </c>
      <c r="LF21" s="17">
        <v>510287.4</v>
      </c>
      <c r="LG21" s="16" t="s">
        <v>30</v>
      </c>
      <c r="LH21" s="17">
        <v>531353.9</v>
      </c>
      <c r="LI21" s="16" t="s">
        <v>30</v>
      </c>
      <c r="LJ21" s="17">
        <v>514822.6</v>
      </c>
      <c r="LK21" s="16" t="s">
        <v>30</v>
      </c>
      <c r="LL21" s="17">
        <v>520197.6</v>
      </c>
      <c r="LM21" s="16" t="s">
        <v>30</v>
      </c>
      <c r="LN21" s="17">
        <v>511682.2</v>
      </c>
      <c r="LO21" s="16" t="s">
        <v>30</v>
      </c>
      <c r="LP21" s="17">
        <v>536113.69999999995</v>
      </c>
      <c r="LQ21" s="16" t="s">
        <v>30</v>
      </c>
      <c r="LR21" s="17">
        <v>518393.5</v>
      </c>
      <c r="LS21" s="16" t="s">
        <v>30</v>
      </c>
      <c r="LT21" s="17">
        <v>527701.80000000005</v>
      </c>
      <c r="LU21" s="16" t="s">
        <v>30</v>
      </c>
      <c r="LV21" s="17">
        <v>511679.5</v>
      </c>
      <c r="LW21" s="16" t="s">
        <v>30</v>
      </c>
      <c r="LX21" s="17">
        <v>539198.5</v>
      </c>
      <c r="LY21" s="16" t="s">
        <v>30</v>
      </c>
      <c r="LZ21" s="18">
        <v>527614</v>
      </c>
      <c r="MA21" s="16" t="s">
        <v>30</v>
      </c>
      <c r="MB21" s="17">
        <v>533105.30000000005</v>
      </c>
      <c r="MC21" s="16" t="s">
        <v>30</v>
      </c>
      <c r="MD21" s="17">
        <v>523262.5</v>
      </c>
      <c r="ME21" s="16" t="s">
        <v>30</v>
      </c>
      <c r="MF21" s="17">
        <v>553989.5</v>
      </c>
      <c r="MG21" s="16" t="s">
        <v>30</v>
      </c>
      <c r="MH21" s="18">
        <v>535812</v>
      </c>
      <c r="MI21" s="16" t="s">
        <v>30</v>
      </c>
      <c r="MJ21" s="17">
        <v>540283.4</v>
      </c>
      <c r="MK21" s="16" t="s">
        <v>30</v>
      </c>
      <c r="ML21" s="17">
        <v>532562.9</v>
      </c>
      <c r="MM21" s="16" t="s">
        <v>30</v>
      </c>
      <c r="MN21" s="17">
        <v>564008.69999999995</v>
      </c>
      <c r="MO21" s="16" t="s">
        <v>30</v>
      </c>
      <c r="MP21" s="17">
        <v>547358.5</v>
      </c>
      <c r="MQ21" s="16" t="s">
        <v>30</v>
      </c>
      <c r="MR21" s="17">
        <v>555289.19999999995</v>
      </c>
      <c r="MS21" s="16" t="s">
        <v>30</v>
      </c>
      <c r="MT21" s="17">
        <v>546875.69999999995</v>
      </c>
      <c r="MU21" s="16" t="s">
        <v>30</v>
      </c>
      <c r="MV21" s="17">
        <v>568898.30000000005</v>
      </c>
      <c r="MW21" s="16" t="s">
        <v>30</v>
      </c>
      <c r="MX21" s="17">
        <v>521513.8</v>
      </c>
      <c r="MY21" s="16" t="s">
        <v>30</v>
      </c>
      <c r="MZ21" s="18">
        <v>462262</v>
      </c>
      <c r="NA21" s="16" t="s">
        <v>30</v>
      </c>
      <c r="NB21" s="17">
        <v>522688.9</v>
      </c>
      <c r="NC21" s="16" t="s">
        <v>30</v>
      </c>
      <c r="ND21" s="17">
        <v>550080.5</v>
      </c>
      <c r="NE21" s="16" t="s">
        <v>30</v>
      </c>
      <c r="NF21" s="17">
        <v>528944.5</v>
      </c>
      <c r="NG21" s="16" t="s">
        <v>30</v>
      </c>
      <c r="NH21" s="17">
        <v>541982.4</v>
      </c>
      <c r="NI21" s="16" t="s">
        <v>30</v>
      </c>
      <c r="NJ21" s="17">
        <v>544728.19999999995</v>
      </c>
      <c r="NK21" s="16" t="s">
        <v>30</v>
      </c>
      <c r="NL21" s="17">
        <v>575447.4</v>
      </c>
      <c r="NM21" s="16" t="s">
        <v>30</v>
      </c>
      <c r="NN21" s="17">
        <v>554257.80000000005</v>
      </c>
      <c r="NO21" s="16" t="s">
        <v>30</v>
      </c>
      <c r="NP21" s="17">
        <v>564375.19999999995</v>
      </c>
      <c r="NQ21" s="16" t="s">
        <v>30</v>
      </c>
      <c r="NR21" s="17">
        <v>555221.69999999995</v>
      </c>
      <c r="NS21" s="16" t="s">
        <v>30</v>
      </c>
      <c r="NT21" s="18">
        <v>582414</v>
      </c>
      <c r="NU21" s="16" t="s">
        <v>30</v>
      </c>
      <c r="NV21" s="18">
        <v>567630</v>
      </c>
      <c r="NW21" s="16" t="s">
        <v>30</v>
      </c>
      <c r="NX21" s="17">
        <v>574415.30000000005</v>
      </c>
      <c r="NY21" s="16" t="s">
        <v>30</v>
      </c>
      <c r="NZ21" s="18">
        <v>563933</v>
      </c>
      <c r="OA21" s="16" t="s">
        <v>30</v>
      </c>
      <c r="OB21" s="17">
        <v>595304.80000000005</v>
      </c>
      <c r="OC21" s="16" t="s">
        <v>30</v>
      </c>
      <c r="OD21" s="17">
        <v>579762.1</v>
      </c>
      <c r="OE21" s="16" t="s">
        <v>30</v>
      </c>
      <c r="OF21" s="17">
        <v>581283.1</v>
      </c>
      <c r="OG21" s="16" t="s">
        <v>30</v>
      </c>
      <c r="OH21" s="17">
        <v>575493.1</v>
      </c>
      <c r="OI21" s="16" t="s">
        <v>30</v>
      </c>
      <c r="OJ21" s="17">
        <v>600118.80000000005</v>
      </c>
      <c r="OK21" s="16" t="s">
        <v>30</v>
      </c>
      <c r="OL21" s="17">
        <v>579811.69999999995</v>
      </c>
      <c r="OM21" s="16" t="s">
        <v>30</v>
      </c>
      <c r="ON21" s="17">
        <v>585439.5</v>
      </c>
      <c r="OO21" s="16" t="s">
        <v>30</v>
      </c>
      <c r="OP21" s="17">
        <v>579140.30000000005</v>
      </c>
      <c r="OQ21" s="16" t="s">
        <v>30</v>
      </c>
    </row>
    <row r="22" spans="1:407" x14ac:dyDescent="0.3">
      <c r="A22" s="12" t="s">
        <v>247</v>
      </c>
      <c r="B22" s="13" t="s">
        <v>235</v>
      </c>
      <c r="C22" s="13" t="s">
        <v>30</v>
      </c>
      <c r="D22" s="13" t="s">
        <v>235</v>
      </c>
      <c r="E22" s="13" t="s">
        <v>30</v>
      </c>
      <c r="F22" s="13" t="s">
        <v>235</v>
      </c>
      <c r="G22" s="13" t="s">
        <v>30</v>
      </c>
      <c r="H22" s="13" t="s">
        <v>235</v>
      </c>
      <c r="I22" s="13" t="s">
        <v>30</v>
      </c>
      <c r="J22" s="13" t="s">
        <v>235</v>
      </c>
      <c r="K22" s="13" t="s">
        <v>30</v>
      </c>
      <c r="L22" s="13" t="s">
        <v>235</v>
      </c>
      <c r="M22" s="13" t="s">
        <v>30</v>
      </c>
      <c r="N22" s="13" t="s">
        <v>235</v>
      </c>
      <c r="O22" s="13" t="s">
        <v>30</v>
      </c>
      <c r="P22" s="13" t="s">
        <v>235</v>
      </c>
      <c r="Q22" s="13" t="s">
        <v>30</v>
      </c>
      <c r="R22" s="13" t="s">
        <v>235</v>
      </c>
      <c r="S22" s="13" t="s">
        <v>30</v>
      </c>
      <c r="T22" s="13" t="s">
        <v>235</v>
      </c>
      <c r="U22" s="13" t="s">
        <v>30</v>
      </c>
      <c r="V22" s="13" t="s">
        <v>235</v>
      </c>
      <c r="W22" s="13" t="s">
        <v>30</v>
      </c>
      <c r="X22" s="13" t="s">
        <v>235</v>
      </c>
      <c r="Y22" s="13" t="s">
        <v>30</v>
      </c>
      <c r="Z22" s="13" t="s">
        <v>235</v>
      </c>
      <c r="AA22" s="13" t="s">
        <v>30</v>
      </c>
      <c r="AB22" s="13" t="s">
        <v>235</v>
      </c>
      <c r="AC22" s="13" t="s">
        <v>30</v>
      </c>
      <c r="AD22" s="13" t="s">
        <v>235</v>
      </c>
      <c r="AE22" s="13" t="s">
        <v>30</v>
      </c>
      <c r="AF22" s="13" t="s">
        <v>235</v>
      </c>
      <c r="AG22" s="13" t="s">
        <v>30</v>
      </c>
      <c r="AH22" s="13" t="s">
        <v>235</v>
      </c>
      <c r="AI22" s="13" t="s">
        <v>30</v>
      </c>
      <c r="AJ22" s="13" t="s">
        <v>235</v>
      </c>
      <c r="AK22" s="13" t="s">
        <v>30</v>
      </c>
      <c r="AL22" s="13" t="s">
        <v>235</v>
      </c>
      <c r="AM22" s="13" t="s">
        <v>30</v>
      </c>
      <c r="AN22" s="13" t="s">
        <v>235</v>
      </c>
      <c r="AO22" s="13" t="s">
        <v>30</v>
      </c>
      <c r="AP22" s="13" t="s">
        <v>235</v>
      </c>
      <c r="AQ22" s="13" t="s">
        <v>30</v>
      </c>
      <c r="AR22" s="13" t="s">
        <v>235</v>
      </c>
      <c r="AS22" s="13" t="s">
        <v>30</v>
      </c>
      <c r="AT22" s="13" t="s">
        <v>235</v>
      </c>
      <c r="AU22" s="13" t="s">
        <v>30</v>
      </c>
      <c r="AV22" s="13" t="s">
        <v>235</v>
      </c>
      <c r="AW22" s="13" t="s">
        <v>30</v>
      </c>
      <c r="AX22" s="13" t="s">
        <v>235</v>
      </c>
      <c r="AY22" s="13" t="s">
        <v>30</v>
      </c>
      <c r="AZ22" s="13" t="s">
        <v>235</v>
      </c>
      <c r="BA22" s="13" t="s">
        <v>30</v>
      </c>
      <c r="BB22" s="13" t="s">
        <v>235</v>
      </c>
      <c r="BC22" s="13" t="s">
        <v>30</v>
      </c>
      <c r="BD22" s="13" t="s">
        <v>235</v>
      </c>
      <c r="BE22" s="13" t="s">
        <v>30</v>
      </c>
      <c r="BF22" s="13" t="s">
        <v>235</v>
      </c>
      <c r="BG22" s="13" t="s">
        <v>30</v>
      </c>
      <c r="BH22" s="13" t="s">
        <v>235</v>
      </c>
      <c r="BI22" s="13" t="s">
        <v>30</v>
      </c>
      <c r="BJ22" s="13" t="s">
        <v>235</v>
      </c>
      <c r="BK22" s="13" t="s">
        <v>30</v>
      </c>
      <c r="BL22" s="13" t="s">
        <v>235</v>
      </c>
      <c r="BM22" s="13" t="s">
        <v>30</v>
      </c>
      <c r="BN22" s="13" t="s">
        <v>235</v>
      </c>
      <c r="BO22" s="13" t="s">
        <v>30</v>
      </c>
      <c r="BP22" s="13" t="s">
        <v>235</v>
      </c>
      <c r="BQ22" s="13" t="s">
        <v>30</v>
      </c>
      <c r="BR22" s="13" t="s">
        <v>235</v>
      </c>
      <c r="BS22" s="13" t="s">
        <v>30</v>
      </c>
      <c r="BT22" s="13" t="s">
        <v>235</v>
      </c>
      <c r="BU22" s="13" t="s">
        <v>30</v>
      </c>
      <c r="BV22" s="13" t="s">
        <v>235</v>
      </c>
      <c r="BW22" s="13" t="s">
        <v>30</v>
      </c>
      <c r="BX22" s="13" t="s">
        <v>235</v>
      </c>
      <c r="BY22" s="13" t="s">
        <v>30</v>
      </c>
      <c r="BZ22" s="13" t="s">
        <v>235</v>
      </c>
      <c r="CA22" s="13" t="s">
        <v>30</v>
      </c>
      <c r="CB22" s="13" t="s">
        <v>235</v>
      </c>
      <c r="CC22" s="13" t="s">
        <v>30</v>
      </c>
      <c r="CD22" s="13" t="s">
        <v>235</v>
      </c>
      <c r="CE22" s="13" t="s">
        <v>30</v>
      </c>
      <c r="CF22" s="13" t="s">
        <v>235</v>
      </c>
      <c r="CG22" s="13" t="s">
        <v>30</v>
      </c>
      <c r="CH22" s="13" t="s">
        <v>235</v>
      </c>
      <c r="CI22" s="13" t="s">
        <v>30</v>
      </c>
      <c r="CJ22" s="13" t="s">
        <v>235</v>
      </c>
      <c r="CK22" s="13" t="s">
        <v>30</v>
      </c>
      <c r="CL22" s="13" t="s">
        <v>235</v>
      </c>
      <c r="CM22" s="13" t="s">
        <v>30</v>
      </c>
      <c r="CN22" s="13" t="s">
        <v>235</v>
      </c>
      <c r="CO22" s="13" t="s">
        <v>30</v>
      </c>
      <c r="CP22" s="13" t="s">
        <v>235</v>
      </c>
      <c r="CQ22" s="13" t="s">
        <v>30</v>
      </c>
      <c r="CR22" s="13" t="s">
        <v>235</v>
      </c>
      <c r="CS22" s="13" t="s">
        <v>30</v>
      </c>
      <c r="CT22" s="13" t="s">
        <v>235</v>
      </c>
      <c r="CU22" s="13" t="s">
        <v>30</v>
      </c>
      <c r="CV22" s="13" t="s">
        <v>235</v>
      </c>
      <c r="CW22" s="13" t="s">
        <v>30</v>
      </c>
      <c r="CX22" s="13" t="s">
        <v>235</v>
      </c>
      <c r="CY22" s="13" t="s">
        <v>30</v>
      </c>
      <c r="CZ22" s="13" t="s">
        <v>235</v>
      </c>
      <c r="DA22" s="13" t="s">
        <v>30</v>
      </c>
      <c r="DB22" s="13" t="s">
        <v>235</v>
      </c>
      <c r="DC22" s="13" t="s">
        <v>30</v>
      </c>
      <c r="DD22" s="13" t="s">
        <v>235</v>
      </c>
      <c r="DE22" s="13" t="s">
        <v>30</v>
      </c>
      <c r="DF22" s="13" t="s">
        <v>235</v>
      </c>
      <c r="DG22" s="13" t="s">
        <v>30</v>
      </c>
      <c r="DH22" s="13" t="s">
        <v>235</v>
      </c>
      <c r="DI22" s="13" t="s">
        <v>30</v>
      </c>
      <c r="DJ22" s="13" t="s">
        <v>235</v>
      </c>
      <c r="DK22" s="13" t="s">
        <v>30</v>
      </c>
      <c r="DL22" s="13" t="s">
        <v>235</v>
      </c>
      <c r="DM22" s="13" t="s">
        <v>30</v>
      </c>
      <c r="DN22" s="13" t="s">
        <v>235</v>
      </c>
      <c r="DO22" s="13" t="s">
        <v>30</v>
      </c>
      <c r="DP22" s="13" t="s">
        <v>235</v>
      </c>
      <c r="DQ22" s="13" t="s">
        <v>30</v>
      </c>
      <c r="DR22" s="13" t="s">
        <v>235</v>
      </c>
      <c r="DS22" s="13" t="s">
        <v>30</v>
      </c>
      <c r="DT22" s="13" t="s">
        <v>235</v>
      </c>
      <c r="DU22" s="13" t="s">
        <v>30</v>
      </c>
      <c r="DV22" s="13" t="s">
        <v>235</v>
      </c>
      <c r="DW22" s="13" t="s">
        <v>30</v>
      </c>
      <c r="DX22" s="13" t="s">
        <v>235</v>
      </c>
      <c r="DY22" s="13" t="s">
        <v>30</v>
      </c>
      <c r="DZ22" s="13" t="s">
        <v>235</v>
      </c>
      <c r="EA22" s="13" t="s">
        <v>30</v>
      </c>
      <c r="EB22" s="13" t="s">
        <v>235</v>
      </c>
      <c r="EC22" s="13" t="s">
        <v>30</v>
      </c>
      <c r="ED22" s="13" t="s">
        <v>235</v>
      </c>
      <c r="EE22" s="13" t="s">
        <v>30</v>
      </c>
      <c r="EF22" s="13" t="s">
        <v>235</v>
      </c>
      <c r="EG22" s="13" t="s">
        <v>30</v>
      </c>
      <c r="EH22" s="13" t="s">
        <v>235</v>
      </c>
      <c r="EI22" s="13" t="s">
        <v>30</v>
      </c>
      <c r="EJ22" s="13" t="s">
        <v>235</v>
      </c>
      <c r="EK22" s="13" t="s">
        <v>30</v>
      </c>
      <c r="EL22" s="13" t="s">
        <v>235</v>
      </c>
      <c r="EM22" s="13" t="s">
        <v>30</v>
      </c>
      <c r="EN22" s="13" t="s">
        <v>235</v>
      </c>
      <c r="EO22" s="13" t="s">
        <v>30</v>
      </c>
      <c r="EP22" s="13" t="s">
        <v>235</v>
      </c>
      <c r="EQ22" s="13" t="s">
        <v>30</v>
      </c>
      <c r="ER22" s="13" t="s">
        <v>235</v>
      </c>
      <c r="ES22" s="13" t="s">
        <v>30</v>
      </c>
      <c r="ET22" s="13" t="s">
        <v>235</v>
      </c>
      <c r="EU22" s="13" t="s">
        <v>30</v>
      </c>
      <c r="EV22" s="13" t="s">
        <v>235</v>
      </c>
      <c r="EW22" s="13" t="s">
        <v>30</v>
      </c>
      <c r="EX22" s="13" t="s">
        <v>235</v>
      </c>
      <c r="EY22" s="13" t="s">
        <v>30</v>
      </c>
      <c r="EZ22" s="13" t="s">
        <v>235</v>
      </c>
      <c r="FA22" s="13" t="s">
        <v>30</v>
      </c>
      <c r="FB22" s="13" t="s">
        <v>235</v>
      </c>
      <c r="FC22" s="13" t="s">
        <v>30</v>
      </c>
      <c r="FD22" s="13" t="s">
        <v>235</v>
      </c>
      <c r="FE22" s="13" t="s">
        <v>30</v>
      </c>
      <c r="FF22" s="14">
        <v>6087.7</v>
      </c>
      <c r="FG22" s="13" t="s">
        <v>30</v>
      </c>
      <c r="FH22" s="14">
        <v>6663.1</v>
      </c>
      <c r="FI22" s="13" t="s">
        <v>30</v>
      </c>
      <c r="FJ22" s="15">
        <v>7035</v>
      </c>
      <c r="FK22" s="13" t="s">
        <v>30</v>
      </c>
      <c r="FL22" s="14">
        <v>6857.6</v>
      </c>
      <c r="FM22" s="13" t="s">
        <v>30</v>
      </c>
      <c r="FN22" s="14">
        <v>6512.7</v>
      </c>
      <c r="FO22" s="13" t="s">
        <v>30</v>
      </c>
      <c r="FP22" s="14">
        <v>7096.1</v>
      </c>
      <c r="FQ22" s="13" t="s">
        <v>30</v>
      </c>
      <c r="FR22" s="14">
        <v>7519.1</v>
      </c>
      <c r="FS22" s="13" t="s">
        <v>30</v>
      </c>
      <c r="FT22" s="14">
        <v>7141.3</v>
      </c>
      <c r="FU22" s="13" t="s">
        <v>30</v>
      </c>
      <c r="FV22" s="14">
        <v>6557.1</v>
      </c>
      <c r="FW22" s="13" t="s">
        <v>30</v>
      </c>
      <c r="FX22" s="14">
        <v>7563.4</v>
      </c>
      <c r="FY22" s="13" t="s">
        <v>30</v>
      </c>
      <c r="FZ22" s="14">
        <v>8561.5</v>
      </c>
      <c r="GA22" s="13" t="s">
        <v>30</v>
      </c>
      <c r="GB22" s="14">
        <v>7560.8</v>
      </c>
      <c r="GC22" s="13" t="s">
        <v>30</v>
      </c>
      <c r="GD22" s="14">
        <v>6787.7</v>
      </c>
      <c r="GE22" s="13" t="s">
        <v>30</v>
      </c>
      <c r="GF22" s="14">
        <v>7701.4</v>
      </c>
      <c r="GG22" s="13" t="s">
        <v>30</v>
      </c>
      <c r="GH22" s="14">
        <v>8788.6</v>
      </c>
      <c r="GI22" s="13" t="s">
        <v>30</v>
      </c>
      <c r="GJ22" s="14">
        <v>7648.5</v>
      </c>
      <c r="GK22" s="13" t="s">
        <v>30</v>
      </c>
      <c r="GL22" s="14">
        <v>6940.4</v>
      </c>
      <c r="GM22" s="13" t="s">
        <v>30</v>
      </c>
      <c r="GN22" s="14">
        <v>7765.7</v>
      </c>
      <c r="GO22" s="13" t="s">
        <v>30</v>
      </c>
      <c r="GP22" s="14">
        <v>8619.9</v>
      </c>
      <c r="GQ22" s="13" t="s">
        <v>30</v>
      </c>
      <c r="GR22" s="14">
        <v>7508.9</v>
      </c>
      <c r="GS22" s="13" t="s">
        <v>30</v>
      </c>
      <c r="GT22" s="14">
        <v>7125.6</v>
      </c>
      <c r="GU22" s="13" t="s">
        <v>30</v>
      </c>
      <c r="GV22" s="14">
        <v>7760.9</v>
      </c>
      <c r="GW22" s="13" t="s">
        <v>30</v>
      </c>
      <c r="GX22" s="14">
        <v>8807.9</v>
      </c>
      <c r="GY22" s="13" t="s">
        <v>30</v>
      </c>
      <c r="GZ22" s="14">
        <v>7835.2</v>
      </c>
      <c r="HA22" s="13" t="s">
        <v>30</v>
      </c>
      <c r="HB22" s="14">
        <v>7323.7</v>
      </c>
      <c r="HC22" s="13" t="s">
        <v>30</v>
      </c>
      <c r="HD22" s="14">
        <v>8109.3</v>
      </c>
      <c r="HE22" s="13" t="s">
        <v>30</v>
      </c>
      <c r="HF22" s="15">
        <v>9139</v>
      </c>
      <c r="HG22" s="13" t="s">
        <v>30</v>
      </c>
      <c r="HH22" s="14">
        <v>8085.1</v>
      </c>
      <c r="HI22" s="13" t="s">
        <v>30</v>
      </c>
      <c r="HJ22" s="14">
        <v>7635.5</v>
      </c>
      <c r="HK22" s="13" t="s">
        <v>30</v>
      </c>
      <c r="HL22" s="14">
        <v>8418.2000000000007</v>
      </c>
      <c r="HM22" s="13" t="s">
        <v>30</v>
      </c>
      <c r="HN22" s="14">
        <v>9762.2999999999993</v>
      </c>
      <c r="HO22" s="13" t="s">
        <v>30</v>
      </c>
      <c r="HP22" s="14">
        <v>8573.7000000000007</v>
      </c>
      <c r="HQ22" s="13" t="s">
        <v>30</v>
      </c>
      <c r="HR22" s="14">
        <v>8095.3</v>
      </c>
      <c r="HS22" s="13" t="s">
        <v>30</v>
      </c>
      <c r="HT22" s="14">
        <v>9033.7999999999993</v>
      </c>
      <c r="HU22" s="13" t="s">
        <v>30</v>
      </c>
      <c r="HV22" s="14">
        <v>10335.9</v>
      </c>
      <c r="HW22" s="13" t="s">
        <v>30</v>
      </c>
      <c r="HX22" s="15">
        <v>8959</v>
      </c>
      <c r="HY22" s="13" t="s">
        <v>30</v>
      </c>
      <c r="HZ22" s="14">
        <v>8507.6</v>
      </c>
      <c r="IA22" s="13" t="s">
        <v>30</v>
      </c>
      <c r="IB22" s="14">
        <v>9421.7000000000007</v>
      </c>
      <c r="IC22" s="13" t="s">
        <v>30</v>
      </c>
      <c r="ID22" s="14">
        <v>10733.7</v>
      </c>
      <c r="IE22" s="13" t="s">
        <v>30</v>
      </c>
      <c r="IF22" s="14">
        <v>9303.2000000000007</v>
      </c>
      <c r="IG22" s="13" t="s">
        <v>30</v>
      </c>
      <c r="IH22" s="14">
        <v>8692.2999999999993</v>
      </c>
      <c r="II22" s="13" t="s">
        <v>30</v>
      </c>
      <c r="IJ22" s="14">
        <v>9899.7999999999993</v>
      </c>
      <c r="IK22" s="13" t="s">
        <v>30</v>
      </c>
      <c r="IL22" s="14">
        <v>11263.1</v>
      </c>
      <c r="IM22" s="13" t="s">
        <v>30</v>
      </c>
      <c r="IN22" s="14">
        <v>9715.9</v>
      </c>
      <c r="IO22" s="13" t="s">
        <v>30</v>
      </c>
      <c r="IP22" s="14">
        <v>9208.7999999999993</v>
      </c>
      <c r="IQ22" s="13" t="s">
        <v>30</v>
      </c>
      <c r="IR22" s="14">
        <v>10261.700000000001</v>
      </c>
      <c r="IS22" s="13" t="s">
        <v>30</v>
      </c>
      <c r="IT22" s="14">
        <v>11808.3</v>
      </c>
      <c r="IU22" s="13" t="s">
        <v>30</v>
      </c>
      <c r="IV22" s="14">
        <v>10151.700000000001</v>
      </c>
      <c r="IW22" s="13" t="s">
        <v>30</v>
      </c>
      <c r="IX22" s="14">
        <v>9785.1</v>
      </c>
      <c r="IY22" s="13" t="s">
        <v>30</v>
      </c>
      <c r="IZ22" s="14">
        <v>10826.7</v>
      </c>
      <c r="JA22" s="13" t="s">
        <v>30</v>
      </c>
      <c r="JB22" s="14">
        <v>12364.8</v>
      </c>
      <c r="JC22" s="13" t="s">
        <v>30</v>
      </c>
      <c r="JD22" s="14">
        <v>10495.3</v>
      </c>
      <c r="JE22" s="13" t="s">
        <v>30</v>
      </c>
      <c r="JF22" s="14">
        <v>10120.4</v>
      </c>
      <c r="JG22" s="13" t="s">
        <v>30</v>
      </c>
      <c r="JH22" s="14">
        <v>11162.7</v>
      </c>
      <c r="JI22" s="13" t="s">
        <v>30</v>
      </c>
      <c r="JJ22" s="14">
        <v>12474.6</v>
      </c>
      <c r="JK22" s="13" t="s">
        <v>30</v>
      </c>
      <c r="JL22" s="14">
        <v>10580.4</v>
      </c>
      <c r="JM22" s="13" t="s">
        <v>30</v>
      </c>
      <c r="JN22" s="14">
        <v>9491.9</v>
      </c>
      <c r="JO22" s="13" t="s">
        <v>30</v>
      </c>
      <c r="JP22" s="14">
        <v>10466.4</v>
      </c>
      <c r="JQ22" s="13" t="s">
        <v>30</v>
      </c>
      <c r="JR22" s="14">
        <v>11653.2</v>
      </c>
      <c r="JS22" s="13" t="s">
        <v>30</v>
      </c>
      <c r="JT22" s="14">
        <v>10215.4</v>
      </c>
      <c r="JU22" s="13" t="s">
        <v>30</v>
      </c>
      <c r="JV22" s="14">
        <v>9109.2000000000007</v>
      </c>
      <c r="JW22" s="13" t="s">
        <v>30</v>
      </c>
      <c r="JX22" s="14">
        <v>10160.1</v>
      </c>
      <c r="JY22" s="13" t="s">
        <v>30</v>
      </c>
      <c r="JZ22" s="14">
        <v>11630.3</v>
      </c>
      <c r="KA22" s="13" t="s">
        <v>30</v>
      </c>
      <c r="KB22" s="14">
        <v>10160.6</v>
      </c>
      <c r="KC22" s="13" t="s">
        <v>30</v>
      </c>
      <c r="KD22" s="14">
        <v>9065.9</v>
      </c>
      <c r="KE22" s="13" t="s">
        <v>30</v>
      </c>
      <c r="KF22" s="14">
        <v>10261.9</v>
      </c>
      <c r="KG22" s="13" t="s">
        <v>30</v>
      </c>
      <c r="KH22" s="14">
        <v>11718.6</v>
      </c>
      <c r="KI22" s="13" t="s">
        <v>30</v>
      </c>
      <c r="KJ22" s="15">
        <v>10107</v>
      </c>
      <c r="KK22" s="13" t="s">
        <v>30</v>
      </c>
      <c r="KL22" s="14">
        <v>8794.9</v>
      </c>
      <c r="KM22" s="13" t="s">
        <v>30</v>
      </c>
      <c r="KN22" s="14">
        <v>9891.2000000000007</v>
      </c>
      <c r="KO22" s="13" t="s">
        <v>30</v>
      </c>
      <c r="KP22" s="14">
        <v>11359.1</v>
      </c>
      <c r="KQ22" s="13" t="s">
        <v>30</v>
      </c>
      <c r="KR22" s="14">
        <v>9745.9</v>
      </c>
      <c r="KS22" s="13" t="s">
        <v>30</v>
      </c>
      <c r="KT22" s="14">
        <v>8690.5</v>
      </c>
      <c r="KU22" s="13" t="s">
        <v>30</v>
      </c>
      <c r="KV22" s="14">
        <v>9885.7999999999993</v>
      </c>
      <c r="KW22" s="13" t="s">
        <v>30</v>
      </c>
      <c r="KX22" s="14">
        <v>11348.5</v>
      </c>
      <c r="KY22" s="13" t="s">
        <v>30</v>
      </c>
      <c r="KZ22" s="14">
        <v>9673.4</v>
      </c>
      <c r="LA22" s="13" t="s">
        <v>30</v>
      </c>
      <c r="LB22" s="14">
        <v>8645.4</v>
      </c>
      <c r="LC22" s="13" t="s">
        <v>30</v>
      </c>
      <c r="LD22" s="14">
        <v>9795.4</v>
      </c>
      <c r="LE22" s="13" t="s">
        <v>30</v>
      </c>
      <c r="LF22" s="14">
        <v>11209.9</v>
      </c>
      <c r="LG22" s="13" t="s">
        <v>30</v>
      </c>
      <c r="LH22" s="15">
        <v>9691</v>
      </c>
      <c r="LI22" s="13" t="s">
        <v>30</v>
      </c>
      <c r="LJ22" s="14">
        <v>8713.2999999999993</v>
      </c>
      <c r="LK22" s="13" t="s">
        <v>30</v>
      </c>
      <c r="LL22" s="14">
        <v>9993.9</v>
      </c>
      <c r="LM22" s="13" t="s">
        <v>30</v>
      </c>
      <c r="LN22" s="14">
        <v>11576.6</v>
      </c>
      <c r="LO22" s="13" t="s">
        <v>30</v>
      </c>
      <c r="LP22" s="14">
        <v>9945.6</v>
      </c>
      <c r="LQ22" s="13" t="s">
        <v>30</v>
      </c>
      <c r="LR22" s="14">
        <v>9004.2999999999993</v>
      </c>
      <c r="LS22" s="13" t="s">
        <v>30</v>
      </c>
      <c r="LT22" s="14">
        <v>10297.5</v>
      </c>
      <c r="LU22" s="13" t="s">
        <v>30</v>
      </c>
      <c r="LV22" s="14">
        <v>11994.6</v>
      </c>
      <c r="LW22" s="13" t="s">
        <v>30</v>
      </c>
      <c r="LX22" s="14">
        <v>10343.6</v>
      </c>
      <c r="LY22" s="13" t="s">
        <v>30</v>
      </c>
      <c r="LZ22" s="14">
        <v>9270.6</v>
      </c>
      <c r="MA22" s="13" t="s">
        <v>30</v>
      </c>
      <c r="MB22" s="14">
        <v>10590.7</v>
      </c>
      <c r="MC22" s="13" t="s">
        <v>30</v>
      </c>
      <c r="MD22" s="14">
        <v>12389.5</v>
      </c>
      <c r="ME22" s="13" t="s">
        <v>30</v>
      </c>
      <c r="MF22" s="14">
        <v>10556.4</v>
      </c>
      <c r="MG22" s="13" t="s">
        <v>30</v>
      </c>
      <c r="MH22" s="14">
        <v>9473.9</v>
      </c>
      <c r="MI22" s="13" t="s">
        <v>30</v>
      </c>
      <c r="MJ22" s="14">
        <v>10852.7</v>
      </c>
      <c r="MK22" s="13" t="s">
        <v>30</v>
      </c>
      <c r="ML22" s="14">
        <v>12674.6</v>
      </c>
      <c r="MM22" s="13" t="s">
        <v>30</v>
      </c>
      <c r="MN22" s="15">
        <v>10874</v>
      </c>
      <c r="MO22" s="13" t="s">
        <v>30</v>
      </c>
      <c r="MP22" s="14">
        <v>9916.5</v>
      </c>
      <c r="MQ22" s="13" t="s">
        <v>30</v>
      </c>
      <c r="MR22" s="15">
        <v>11250</v>
      </c>
      <c r="MS22" s="13" t="s">
        <v>30</v>
      </c>
      <c r="MT22" s="14">
        <v>13042.7</v>
      </c>
      <c r="MU22" s="13" t="s">
        <v>30</v>
      </c>
      <c r="MV22" s="14">
        <v>11083.5</v>
      </c>
      <c r="MW22" s="13" t="s">
        <v>30</v>
      </c>
      <c r="MX22" s="14">
        <v>9855.2999999999993</v>
      </c>
      <c r="MY22" s="13" t="s">
        <v>30</v>
      </c>
      <c r="MZ22" s="14">
        <v>9706.4</v>
      </c>
      <c r="NA22" s="13" t="s">
        <v>30</v>
      </c>
      <c r="NB22" s="15">
        <v>11757</v>
      </c>
      <c r="NC22" s="13" t="s">
        <v>30</v>
      </c>
      <c r="ND22" s="14">
        <v>10679.4</v>
      </c>
      <c r="NE22" s="13" t="s">
        <v>30</v>
      </c>
      <c r="NF22" s="14">
        <v>10172.799999999999</v>
      </c>
      <c r="NG22" s="13" t="s">
        <v>30</v>
      </c>
      <c r="NH22" s="14">
        <v>11413.5</v>
      </c>
      <c r="NI22" s="13" t="s">
        <v>30</v>
      </c>
      <c r="NJ22" s="14">
        <v>13463.3</v>
      </c>
      <c r="NK22" s="13" t="s">
        <v>30</v>
      </c>
      <c r="NL22" s="14">
        <v>11860.2</v>
      </c>
      <c r="NM22" s="13" t="s">
        <v>30</v>
      </c>
      <c r="NN22" s="14">
        <v>10968.2</v>
      </c>
      <c r="NO22" s="13" t="s">
        <v>30</v>
      </c>
      <c r="NP22" s="14">
        <v>12652.3</v>
      </c>
      <c r="NQ22" s="13" t="s">
        <v>30</v>
      </c>
      <c r="NR22" s="15">
        <v>14561</v>
      </c>
      <c r="NS22" s="13" t="s">
        <v>30</v>
      </c>
      <c r="NT22" s="14">
        <v>12659.5</v>
      </c>
      <c r="NU22" s="13" t="s">
        <v>30</v>
      </c>
      <c r="NV22" s="14">
        <v>11347.8</v>
      </c>
      <c r="NW22" s="13" t="s">
        <v>30</v>
      </c>
      <c r="NX22" s="15">
        <v>13116</v>
      </c>
      <c r="NY22" s="13" t="s">
        <v>30</v>
      </c>
      <c r="NZ22" s="14">
        <v>15123.2</v>
      </c>
      <c r="OA22" s="13" t="s">
        <v>30</v>
      </c>
      <c r="OB22" s="15">
        <v>13296</v>
      </c>
      <c r="OC22" s="13" t="s">
        <v>30</v>
      </c>
      <c r="OD22" s="14">
        <v>11675.9</v>
      </c>
      <c r="OE22" s="13" t="s">
        <v>237</v>
      </c>
      <c r="OF22" s="14">
        <v>13548.1</v>
      </c>
      <c r="OG22" s="13" t="s">
        <v>237</v>
      </c>
      <c r="OH22" s="14">
        <v>15651.1</v>
      </c>
      <c r="OI22" s="13" t="s">
        <v>237</v>
      </c>
      <c r="OJ22" s="14">
        <v>13714.1</v>
      </c>
      <c r="OK22" s="13" t="s">
        <v>237</v>
      </c>
      <c r="OL22" s="14">
        <v>12035.2</v>
      </c>
      <c r="OM22" s="13" t="s">
        <v>237</v>
      </c>
      <c r="ON22" s="15">
        <v>14018</v>
      </c>
      <c r="OO22" s="13" t="s">
        <v>237</v>
      </c>
      <c r="OP22" s="13" t="s">
        <v>235</v>
      </c>
      <c r="OQ22" s="13" t="s">
        <v>30</v>
      </c>
    </row>
    <row r="23" spans="1:407" x14ac:dyDescent="0.3">
      <c r="A23" s="12" t="s">
        <v>248</v>
      </c>
      <c r="B23" s="16" t="s">
        <v>235</v>
      </c>
      <c r="C23" s="16" t="s">
        <v>30</v>
      </c>
      <c r="D23" s="16" t="s">
        <v>235</v>
      </c>
      <c r="E23" s="16" t="s">
        <v>30</v>
      </c>
      <c r="F23" s="16" t="s">
        <v>235</v>
      </c>
      <c r="G23" s="16" t="s">
        <v>30</v>
      </c>
      <c r="H23" s="16" t="s">
        <v>235</v>
      </c>
      <c r="I23" s="16" t="s">
        <v>30</v>
      </c>
      <c r="J23" s="16" t="s">
        <v>235</v>
      </c>
      <c r="K23" s="16" t="s">
        <v>30</v>
      </c>
      <c r="L23" s="16" t="s">
        <v>235</v>
      </c>
      <c r="M23" s="16" t="s">
        <v>30</v>
      </c>
      <c r="N23" s="16" t="s">
        <v>235</v>
      </c>
      <c r="O23" s="16" t="s">
        <v>30</v>
      </c>
      <c r="P23" s="16" t="s">
        <v>235</v>
      </c>
      <c r="Q23" s="16" t="s">
        <v>30</v>
      </c>
      <c r="R23" s="16" t="s">
        <v>235</v>
      </c>
      <c r="S23" s="16" t="s">
        <v>30</v>
      </c>
      <c r="T23" s="16" t="s">
        <v>235</v>
      </c>
      <c r="U23" s="16" t="s">
        <v>30</v>
      </c>
      <c r="V23" s="16" t="s">
        <v>235</v>
      </c>
      <c r="W23" s="16" t="s">
        <v>30</v>
      </c>
      <c r="X23" s="16" t="s">
        <v>235</v>
      </c>
      <c r="Y23" s="16" t="s">
        <v>30</v>
      </c>
      <c r="Z23" s="16" t="s">
        <v>235</v>
      </c>
      <c r="AA23" s="16" t="s">
        <v>30</v>
      </c>
      <c r="AB23" s="16" t="s">
        <v>235</v>
      </c>
      <c r="AC23" s="16" t="s">
        <v>30</v>
      </c>
      <c r="AD23" s="16" t="s">
        <v>235</v>
      </c>
      <c r="AE23" s="16" t="s">
        <v>30</v>
      </c>
      <c r="AF23" s="16" t="s">
        <v>235</v>
      </c>
      <c r="AG23" s="16" t="s">
        <v>30</v>
      </c>
      <c r="AH23" s="16" t="s">
        <v>235</v>
      </c>
      <c r="AI23" s="16" t="s">
        <v>30</v>
      </c>
      <c r="AJ23" s="16" t="s">
        <v>235</v>
      </c>
      <c r="AK23" s="16" t="s">
        <v>30</v>
      </c>
      <c r="AL23" s="16" t="s">
        <v>235</v>
      </c>
      <c r="AM23" s="16" t="s">
        <v>30</v>
      </c>
      <c r="AN23" s="16" t="s">
        <v>235</v>
      </c>
      <c r="AO23" s="16" t="s">
        <v>30</v>
      </c>
      <c r="AP23" s="16" t="s">
        <v>235</v>
      </c>
      <c r="AQ23" s="16" t="s">
        <v>30</v>
      </c>
      <c r="AR23" s="16" t="s">
        <v>235</v>
      </c>
      <c r="AS23" s="16" t="s">
        <v>30</v>
      </c>
      <c r="AT23" s="16" t="s">
        <v>235</v>
      </c>
      <c r="AU23" s="16" t="s">
        <v>30</v>
      </c>
      <c r="AV23" s="16" t="s">
        <v>235</v>
      </c>
      <c r="AW23" s="16" t="s">
        <v>30</v>
      </c>
      <c r="AX23" s="16" t="s">
        <v>235</v>
      </c>
      <c r="AY23" s="16" t="s">
        <v>30</v>
      </c>
      <c r="AZ23" s="16" t="s">
        <v>235</v>
      </c>
      <c r="BA23" s="16" t="s">
        <v>30</v>
      </c>
      <c r="BB23" s="16" t="s">
        <v>235</v>
      </c>
      <c r="BC23" s="16" t="s">
        <v>30</v>
      </c>
      <c r="BD23" s="16" t="s">
        <v>235</v>
      </c>
      <c r="BE23" s="16" t="s">
        <v>30</v>
      </c>
      <c r="BF23" s="16" t="s">
        <v>235</v>
      </c>
      <c r="BG23" s="16" t="s">
        <v>30</v>
      </c>
      <c r="BH23" s="16" t="s">
        <v>235</v>
      </c>
      <c r="BI23" s="16" t="s">
        <v>30</v>
      </c>
      <c r="BJ23" s="16" t="s">
        <v>235</v>
      </c>
      <c r="BK23" s="16" t="s">
        <v>30</v>
      </c>
      <c r="BL23" s="16" t="s">
        <v>235</v>
      </c>
      <c r="BM23" s="16" t="s">
        <v>30</v>
      </c>
      <c r="BN23" s="16" t="s">
        <v>235</v>
      </c>
      <c r="BO23" s="16" t="s">
        <v>30</v>
      </c>
      <c r="BP23" s="16" t="s">
        <v>235</v>
      </c>
      <c r="BQ23" s="16" t="s">
        <v>30</v>
      </c>
      <c r="BR23" s="16" t="s">
        <v>235</v>
      </c>
      <c r="BS23" s="16" t="s">
        <v>30</v>
      </c>
      <c r="BT23" s="16" t="s">
        <v>235</v>
      </c>
      <c r="BU23" s="16" t="s">
        <v>30</v>
      </c>
      <c r="BV23" s="16" t="s">
        <v>235</v>
      </c>
      <c r="BW23" s="16" t="s">
        <v>30</v>
      </c>
      <c r="BX23" s="16" t="s">
        <v>235</v>
      </c>
      <c r="BY23" s="16" t="s">
        <v>30</v>
      </c>
      <c r="BZ23" s="16" t="s">
        <v>235</v>
      </c>
      <c r="CA23" s="16" t="s">
        <v>30</v>
      </c>
      <c r="CB23" s="16" t="s">
        <v>235</v>
      </c>
      <c r="CC23" s="16" t="s">
        <v>30</v>
      </c>
      <c r="CD23" s="16" t="s">
        <v>235</v>
      </c>
      <c r="CE23" s="16" t="s">
        <v>30</v>
      </c>
      <c r="CF23" s="16" t="s">
        <v>235</v>
      </c>
      <c r="CG23" s="16" t="s">
        <v>30</v>
      </c>
      <c r="CH23" s="16" t="s">
        <v>235</v>
      </c>
      <c r="CI23" s="16" t="s">
        <v>30</v>
      </c>
      <c r="CJ23" s="16" t="s">
        <v>235</v>
      </c>
      <c r="CK23" s="16" t="s">
        <v>30</v>
      </c>
      <c r="CL23" s="16" t="s">
        <v>235</v>
      </c>
      <c r="CM23" s="16" t="s">
        <v>30</v>
      </c>
      <c r="CN23" s="16" t="s">
        <v>235</v>
      </c>
      <c r="CO23" s="16" t="s">
        <v>30</v>
      </c>
      <c r="CP23" s="16" t="s">
        <v>235</v>
      </c>
      <c r="CQ23" s="16" t="s">
        <v>30</v>
      </c>
      <c r="CR23" s="16" t="s">
        <v>235</v>
      </c>
      <c r="CS23" s="16" t="s">
        <v>30</v>
      </c>
      <c r="CT23" s="16" t="s">
        <v>235</v>
      </c>
      <c r="CU23" s="16" t="s">
        <v>30</v>
      </c>
      <c r="CV23" s="16" t="s">
        <v>235</v>
      </c>
      <c r="CW23" s="16" t="s">
        <v>30</v>
      </c>
      <c r="CX23" s="16" t="s">
        <v>235</v>
      </c>
      <c r="CY23" s="16" t="s">
        <v>30</v>
      </c>
      <c r="CZ23" s="16" t="s">
        <v>235</v>
      </c>
      <c r="DA23" s="16" t="s">
        <v>30</v>
      </c>
      <c r="DB23" s="16" t="s">
        <v>235</v>
      </c>
      <c r="DC23" s="16" t="s">
        <v>30</v>
      </c>
      <c r="DD23" s="16" t="s">
        <v>235</v>
      </c>
      <c r="DE23" s="16" t="s">
        <v>30</v>
      </c>
      <c r="DF23" s="16" t="s">
        <v>235</v>
      </c>
      <c r="DG23" s="16" t="s">
        <v>30</v>
      </c>
      <c r="DH23" s="16" t="s">
        <v>235</v>
      </c>
      <c r="DI23" s="16" t="s">
        <v>30</v>
      </c>
      <c r="DJ23" s="16" t="s">
        <v>235</v>
      </c>
      <c r="DK23" s="16" t="s">
        <v>30</v>
      </c>
      <c r="DL23" s="16" t="s">
        <v>235</v>
      </c>
      <c r="DM23" s="16" t="s">
        <v>30</v>
      </c>
      <c r="DN23" s="16" t="s">
        <v>235</v>
      </c>
      <c r="DO23" s="16" t="s">
        <v>30</v>
      </c>
      <c r="DP23" s="16" t="s">
        <v>235</v>
      </c>
      <c r="DQ23" s="16" t="s">
        <v>30</v>
      </c>
      <c r="DR23" s="16" t="s">
        <v>235</v>
      </c>
      <c r="DS23" s="16" t="s">
        <v>30</v>
      </c>
      <c r="DT23" s="16" t="s">
        <v>235</v>
      </c>
      <c r="DU23" s="16" t="s">
        <v>30</v>
      </c>
      <c r="DV23" s="16" t="s">
        <v>235</v>
      </c>
      <c r="DW23" s="16" t="s">
        <v>30</v>
      </c>
      <c r="DX23" s="16" t="s">
        <v>235</v>
      </c>
      <c r="DY23" s="16" t="s">
        <v>30</v>
      </c>
      <c r="DZ23" s="16" t="s">
        <v>235</v>
      </c>
      <c r="EA23" s="16" t="s">
        <v>30</v>
      </c>
      <c r="EB23" s="16" t="s">
        <v>235</v>
      </c>
      <c r="EC23" s="16" t="s">
        <v>30</v>
      </c>
      <c r="ED23" s="16" t="s">
        <v>235</v>
      </c>
      <c r="EE23" s="16" t="s">
        <v>30</v>
      </c>
      <c r="EF23" s="16" t="s">
        <v>235</v>
      </c>
      <c r="EG23" s="16" t="s">
        <v>30</v>
      </c>
      <c r="EH23" s="16" t="s">
        <v>235</v>
      </c>
      <c r="EI23" s="16" t="s">
        <v>30</v>
      </c>
      <c r="EJ23" s="16" t="s">
        <v>235</v>
      </c>
      <c r="EK23" s="16" t="s">
        <v>30</v>
      </c>
      <c r="EL23" s="16" t="s">
        <v>235</v>
      </c>
      <c r="EM23" s="16" t="s">
        <v>30</v>
      </c>
      <c r="EN23" s="16" t="s">
        <v>235</v>
      </c>
      <c r="EO23" s="16" t="s">
        <v>30</v>
      </c>
      <c r="EP23" s="16" t="s">
        <v>235</v>
      </c>
      <c r="EQ23" s="16" t="s">
        <v>30</v>
      </c>
      <c r="ER23" s="16" t="s">
        <v>235</v>
      </c>
      <c r="ES23" s="16" t="s">
        <v>30</v>
      </c>
      <c r="ET23" s="16" t="s">
        <v>235</v>
      </c>
      <c r="EU23" s="16" t="s">
        <v>30</v>
      </c>
      <c r="EV23" s="16" t="s">
        <v>235</v>
      </c>
      <c r="EW23" s="16" t="s">
        <v>30</v>
      </c>
      <c r="EX23" s="16" t="s">
        <v>235</v>
      </c>
      <c r="EY23" s="16" t="s">
        <v>30</v>
      </c>
      <c r="EZ23" s="16" t="s">
        <v>235</v>
      </c>
      <c r="FA23" s="16" t="s">
        <v>30</v>
      </c>
      <c r="FB23" s="16" t="s">
        <v>235</v>
      </c>
      <c r="FC23" s="16" t="s">
        <v>30</v>
      </c>
      <c r="FD23" s="16" t="s">
        <v>235</v>
      </c>
      <c r="FE23" s="16" t="s">
        <v>30</v>
      </c>
      <c r="FF23" s="16" t="s">
        <v>235</v>
      </c>
      <c r="FG23" s="16" t="s">
        <v>30</v>
      </c>
      <c r="FH23" s="16" t="s">
        <v>235</v>
      </c>
      <c r="FI23" s="16" t="s">
        <v>30</v>
      </c>
      <c r="FJ23" s="16" t="s">
        <v>235</v>
      </c>
      <c r="FK23" s="16" t="s">
        <v>30</v>
      </c>
      <c r="FL23" s="16" t="s">
        <v>235</v>
      </c>
      <c r="FM23" s="16" t="s">
        <v>30</v>
      </c>
      <c r="FN23" s="18">
        <v>341131</v>
      </c>
      <c r="FO23" s="16" t="s">
        <v>30</v>
      </c>
      <c r="FP23" s="17">
        <v>355899.6</v>
      </c>
      <c r="FQ23" s="16" t="s">
        <v>30</v>
      </c>
      <c r="FR23" s="17">
        <v>351277.1</v>
      </c>
      <c r="FS23" s="16" t="s">
        <v>30</v>
      </c>
      <c r="FT23" s="17">
        <v>366092.2</v>
      </c>
      <c r="FU23" s="16" t="s">
        <v>30</v>
      </c>
      <c r="FV23" s="17">
        <v>338924.2</v>
      </c>
      <c r="FW23" s="16" t="s">
        <v>30</v>
      </c>
      <c r="FX23" s="17">
        <v>362360.7</v>
      </c>
      <c r="FY23" s="16" t="s">
        <v>30</v>
      </c>
      <c r="FZ23" s="17">
        <v>357254.40000000002</v>
      </c>
      <c r="GA23" s="16" t="s">
        <v>30</v>
      </c>
      <c r="GB23" s="17">
        <v>379197.9</v>
      </c>
      <c r="GC23" s="16" t="s">
        <v>30</v>
      </c>
      <c r="GD23" s="17">
        <v>349570.5</v>
      </c>
      <c r="GE23" s="16" t="s">
        <v>30</v>
      </c>
      <c r="GF23" s="17">
        <v>368991.9</v>
      </c>
      <c r="GG23" s="16" t="s">
        <v>30</v>
      </c>
      <c r="GH23" s="17">
        <v>363991.9</v>
      </c>
      <c r="GI23" s="16" t="s">
        <v>30</v>
      </c>
      <c r="GJ23" s="17">
        <v>378780.2</v>
      </c>
      <c r="GK23" s="16" t="s">
        <v>30</v>
      </c>
      <c r="GL23" s="17">
        <v>352208.5</v>
      </c>
      <c r="GM23" s="16" t="s">
        <v>30</v>
      </c>
      <c r="GN23" s="17">
        <v>371381.9</v>
      </c>
      <c r="GO23" s="16" t="s">
        <v>30</v>
      </c>
      <c r="GP23" s="17">
        <v>368681.6</v>
      </c>
      <c r="GQ23" s="16" t="s">
        <v>30</v>
      </c>
      <c r="GR23" s="17">
        <v>392299.5</v>
      </c>
      <c r="GS23" s="16" t="s">
        <v>30</v>
      </c>
      <c r="GT23" s="17">
        <v>369473.5</v>
      </c>
      <c r="GU23" s="16" t="s">
        <v>30</v>
      </c>
      <c r="GV23" s="17">
        <v>387314.3</v>
      </c>
      <c r="GW23" s="16" t="s">
        <v>30</v>
      </c>
      <c r="GX23" s="17">
        <v>381706.3</v>
      </c>
      <c r="GY23" s="16" t="s">
        <v>30</v>
      </c>
      <c r="GZ23" s="17">
        <v>403758.8</v>
      </c>
      <c r="HA23" s="16" t="s">
        <v>30</v>
      </c>
      <c r="HB23" s="17">
        <v>381645.8</v>
      </c>
      <c r="HC23" s="16" t="s">
        <v>30</v>
      </c>
      <c r="HD23" s="17">
        <v>397820.6</v>
      </c>
      <c r="HE23" s="16" t="s">
        <v>30</v>
      </c>
      <c r="HF23" s="17">
        <v>386544.5</v>
      </c>
      <c r="HG23" s="16" t="s">
        <v>30</v>
      </c>
      <c r="HH23" s="17">
        <v>405817.9</v>
      </c>
      <c r="HI23" s="16" t="s">
        <v>30</v>
      </c>
      <c r="HJ23" s="17">
        <v>378868.4</v>
      </c>
      <c r="HK23" s="16" t="s">
        <v>30</v>
      </c>
      <c r="HL23" s="17">
        <v>397573.3</v>
      </c>
      <c r="HM23" s="16" t="s">
        <v>30</v>
      </c>
      <c r="HN23" s="18">
        <v>390554</v>
      </c>
      <c r="HO23" s="16" t="s">
        <v>30</v>
      </c>
      <c r="HP23" s="17">
        <v>410763.4</v>
      </c>
      <c r="HQ23" s="16" t="s">
        <v>30</v>
      </c>
      <c r="HR23" s="17">
        <v>380587.2</v>
      </c>
      <c r="HS23" s="16" t="s">
        <v>30</v>
      </c>
      <c r="HT23" s="17">
        <v>397069.7</v>
      </c>
      <c r="HU23" s="16" t="s">
        <v>30</v>
      </c>
      <c r="HV23" s="17">
        <v>390192.9</v>
      </c>
      <c r="HW23" s="16" t="s">
        <v>30</v>
      </c>
      <c r="HX23" s="17">
        <v>410551.3</v>
      </c>
      <c r="HY23" s="16" t="s">
        <v>30</v>
      </c>
      <c r="HZ23" s="17">
        <v>384918.5</v>
      </c>
      <c r="IA23" s="16" t="s">
        <v>30</v>
      </c>
      <c r="IB23" s="17">
        <v>405189.1</v>
      </c>
      <c r="IC23" s="16" t="s">
        <v>30</v>
      </c>
      <c r="ID23" s="17">
        <v>398752.3</v>
      </c>
      <c r="IE23" s="16" t="s">
        <v>30</v>
      </c>
      <c r="IF23" s="17">
        <v>415687.7</v>
      </c>
      <c r="IG23" s="16" t="s">
        <v>30</v>
      </c>
      <c r="IH23" s="17">
        <v>385331.6</v>
      </c>
      <c r="II23" s="16" t="s">
        <v>30</v>
      </c>
      <c r="IJ23" s="17">
        <v>408909.4</v>
      </c>
      <c r="IK23" s="16" t="s">
        <v>30</v>
      </c>
      <c r="IL23" s="17">
        <v>404025.1</v>
      </c>
      <c r="IM23" s="16" t="s">
        <v>30</v>
      </c>
      <c r="IN23" s="18">
        <v>418872</v>
      </c>
      <c r="IO23" s="16" t="s">
        <v>30</v>
      </c>
      <c r="IP23" s="17">
        <v>396918.2</v>
      </c>
      <c r="IQ23" s="16" t="s">
        <v>30</v>
      </c>
      <c r="IR23" s="17">
        <v>415435.7</v>
      </c>
      <c r="IS23" s="16" t="s">
        <v>30</v>
      </c>
      <c r="IT23" s="17">
        <v>409184.8</v>
      </c>
      <c r="IU23" s="16" t="s">
        <v>30</v>
      </c>
      <c r="IV23" s="17">
        <v>426894.5</v>
      </c>
      <c r="IW23" s="16" t="s">
        <v>30</v>
      </c>
      <c r="IX23" s="17">
        <v>405257.9</v>
      </c>
      <c r="IY23" s="16" t="s">
        <v>30</v>
      </c>
      <c r="IZ23" s="17">
        <v>424252.9</v>
      </c>
      <c r="JA23" s="16" t="s">
        <v>30</v>
      </c>
      <c r="JB23" s="17">
        <v>416539.6</v>
      </c>
      <c r="JC23" s="16" t="s">
        <v>30</v>
      </c>
      <c r="JD23" s="17">
        <v>428645.5</v>
      </c>
      <c r="JE23" s="16" t="s">
        <v>30</v>
      </c>
      <c r="JF23" s="18">
        <v>410006</v>
      </c>
      <c r="JG23" s="16" t="s">
        <v>30</v>
      </c>
      <c r="JH23" s="17">
        <v>423822.5</v>
      </c>
      <c r="JI23" s="16" t="s">
        <v>30</v>
      </c>
      <c r="JJ23" s="17">
        <v>414162.3</v>
      </c>
      <c r="JK23" s="16" t="s">
        <v>30</v>
      </c>
      <c r="JL23" s="17">
        <v>412886.1</v>
      </c>
      <c r="JM23" s="16" t="s">
        <v>30</v>
      </c>
      <c r="JN23" s="17">
        <v>378719.3</v>
      </c>
      <c r="JO23" s="16" t="s">
        <v>30</v>
      </c>
      <c r="JP23" s="17">
        <v>392853.8</v>
      </c>
      <c r="JQ23" s="16" t="s">
        <v>30</v>
      </c>
      <c r="JR23" s="17">
        <v>394423.4</v>
      </c>
      <c r="JS23" s="16" t="s">
        <v>30</v>
      </c>
      <c r="JT23" s="17">
        <v>403047.1</v>
      </c>
      <c r="JU23" s="16" t="s">
        <v>30</v>
      </c>
      <c r="JV23" s="17">
        <v>381942.1</v>
      </c>
      <c r="JW23" s="16" t="s">
        <v>30</v>
      </c>
      <c r="JX23" s="17">
        <v>401759.3</v>
      </c>
      <c r="JY23" s="16" t="s">
        <v>30</v>
      </c>
      <c r="JZ23" s="17">
        <v>401069.7</v>
      </c>
      <c r="KA23" s="16" t="s">
        <v>30</v>
      </c>
      <c r="KB23" s="17">
        <v>412633.7</v>
      </c>
      <c r="KC23" s="16" t="s">
        <v>30</v>
      </c>
      <c r="KD23" s="17">
        <v>391818.3</v>
      </c>
      <c r="KE23" s="16" t="s">
        <v>30</v>
      </c>
      <c r="KF23" s="18">
        <v>408068</v>
      </c>
      <c r="KG23" s="16" t="s">
        <v>30</v>
      </c>
      <c r="KH23" s="17">
        <v>403847.9</v>
      </c>
      <c r="KI23" s="16" t="s">
        <v>30</v>
      </c>
      <c r="KJ23" s="17">
        <v>406167.6</v>
      </c>
      <c r="KK23" s="16" t="s">
        <v>30</v>
      </c>
      <c r="KL23" s="17">
        <v>383299.3</v>
      </c>
      <c r="KM23" s="16" t="s">
        <v>30</v>
      </c>
      <c r="KN23" s="17">
        <v>394959.4</v>
      </c>
      <c r="KO23" s="16" t="s">
        <v>30</v>
      </c>
      <c r="KP23" s="17">
        <v>391099.4</v>
      </c>
      <c r="KQ23" s="16" t="s">
        <v>30</v>
      </c>
      <c r="KR23" s="17">
        <v>395083.9</v>
      </c>
      <c r="KS23" s="16" t="s">
        <v>30</v>
      </c>
      <c r="KT23" s="17">
        <v>371195.5</v>
      </c>
      <c r="KU23" s="16" t="s">
        <v>30</v>
      </c>
      <c r="KV23" s="17">
        <v>386922.1</v>
      </c>
      <c r="KW23" s="16" t="s">
        <v>30</v>
      </c>
      <c r="KX23" s="17">
        <v>388888.5</v>
      </c>
      <c r="KY23" s="16" t="s">
        <v>30</v>
      </c>
      <c r="KZ23" s="17">
        <v>393872.5</v>
      </c>
      <c r="LA23" s="16" t="s">
        <v>30</v>
      </c>
      <c r="LB23" s="17">
        <v>371711.1</v>
      </c>
      <c r="LC23" s="16" t="s">
        <v>30</v>
      </c>
      <c r="LD23" s="17">
        <v>386670.1</v>
      </c>
      <c r="LE23" s="16" t="s">
        <v>30</v>
      </c>
      <c r="LF23" s="17">
        <v>388688.3</v>
      </c>
      <c r="LG23" s="16" t="s">
        <v>30</v>
      </c>
      <c r="LH23" s="17">
        <v>392736.8</v>
      </c>
      <c r="LI23" s="16" t="s">
        <v>30</v>
      </c>
      <c r="LJ23" s="18">
        <v>372958</v>
      </c>
      <c r="LK23" s="16" t="s">
        <v>30</v>
      </c>
      <c r="LL23" s="17">
        <v>389412.1</v>
      </c>
      <c r="LM23" s="16" t="s">
        <v>30</v>
      </c>
      <c r="LN23" s="17">
        <v>391961.9</v>
      </c>
      <c r="LO23" s="16" t="s">
        <v>30</v>
      </c>
      <c r="LP23" s="18">
        <v>399827</v>
      </c>
      <c r="LQ23" s="16" t="s">
        <v>30</v>
      </c>
      <c r="LR23" s="17">
        <v>377742.1</v>
      </c>
      <c r="LS23" s="16" t="s">
        <v>30</v>
      </c>
      <c r="LT23" s="17">
        <v>394751.6</v>
      </c>
      <c r="LU23" s="16" t="s">
        <v>30</v>
      </c>
      <c r="LV23" s="17">
        <v>397618.1</v>
      </c>
      <c r="LW23" s="16" t="s">
        <v>30</v>
      </c>
      <c r="LX23" s="17">
        <v>405293.8</v>
      </c>
      <c r="LY23" s="16" t="s">
        <v>30</v>
      </c>
      <c r="LZ23" s="17">
        <v>387731.20000000001</v>
      </c>
      <c r="MA23" s="16" t="s">
        <v>30</v>
      </c>
      <c r="MB23" s="17">
        <v>402082.1</v>
      </c>
      <c r="MC23" s="16" t="s">
        <v>30</v>
      </c>
      <c r="MD23" s="17">
        <v>402592.3</v>
      </c>
      <c r="ME23" s="16" t="s">
        <v>30</v>
      </c>
      <c r="MF23" s="17">
        <v>412029.8</v>
      </c>
      <c r="MG23" s="16" t="s">
        <v>30</v>
      </c>
      <c r="MH23" s="17">
        <v>390860.9</v>
      </c>
      <c r="MI23" s="16" t="s">
        <v>30</v>
      </c>
      <c r="MJ23" s="17">
        <v>407031.3</v>
      </c>
      <c r="MK23" s="16" t="s">
        <v>30</v>
      </c>
      <c r="ML23" s="17">
        <v>406346.6</v>
      </c>
      <c r="MM23" s="16" t="s">
        <v>30</v>
      </c>
      <c r="MN23" s="17">
        <v>416103.3</v>
      </c>
      <c r="MO23" s="16" t="s">
        <v>30</v>
      </c>
      <c r="MP23" s="17">
        <v>393006.5</v>
      </c>
      <c r="MQ23" s="16" t="s">
        <v>30</v>
      </c>
      <c r="MR23" s="17">
        <v>410150.3</v>
      </c>
      <c r="MS23" s="16" t="s">
        <v>30</v>
      </c>
      <c r="MT23" s="17">
        <v>410864.9</v>
      </c>
      <c r="MU23" s="16" t="s">
        <v>30</v>
      </c>
      <c r="MV23" s="18">
        <v>417706</v>
      </c>
      <c r="MW23" s="16" t="s">
        <v>30</v>
      </c>
      <c r="MX23" s="17">
        <v>371667.6</v>
      </c>
      <c r="MY23" s="16" t="s">
        <v>30</v>
      </c>
      <c r="MZ23" s="17">
        <v>337964.6</v>
      </c>
      <c r="NA23" s="16" t="s">
        <v>30</v>
      </c>
      <c r="NB23" s="17">
        <v>389693.8</v>
      </c>
      <c r="NC23" s="16" t="s">
        <v>30</v>
      </c>
      <c r="ND23" s="17">
        <v>396996.3</v>
      </c>
      <c r="NE23" s="16" t="s">
        <v>30</v>
      </c>
      <c r="NF23" s="17">
        <v>381579.7</v>
      </c>
      <c r="NG23" s="16" t="s">
        <v>30</v>
      </c>
      <c r="NH23" s="17">
        <v>403646.5</v>
      </c>
      <c r="NI23" s="16" t="s">
        <v>30</v>
      </c>
      <c r="NJ23" s="17">
        <v>416930.5</v>
      </c>
      <c r="NK23" s="16" t="s">
        <v>30</v>
      </c>
      <c r="NL23" s="17">
        <v>428313.1</v>
      </c>
      <c r="NM23" s="16" t="s">
        <v>30</v>
      </c>
      <c r="NN23" s="17">
        <v>409945.59999999998</v>
      </c>
      <c r="NO23" s="16" t="s">
        <v>30</v>
      </c>
      <c r="NP23" s="17">
        <v>430642.9</v>
      </c>
      <c r="NQ23" s="16" t="s">
        <v>30</v>
      </c>
      <c r="NR23" s="17">
        <v>432624.5</v>
      </c>
      <c r="NS23" s="16" t="s">
        <v>30</v>
      </c>
      <c r="NT23" s="17">
        <v>437796.2</v>
      </c>
      <c r="NU23" s="16" t="s">
        <v>30</v>
      </c>
      <c r="NV23" s="17">
        <v>421358.1</v>
      </c>
      <c r="NW23" s="16" t="s">
        <v>30</v>
      </c>
      <c r="NX23" s="17">
        <v>431932.3</v>
      </c>
      <c r="NY23" s="16" t="s">
        <v>30</v>
      </c>
      <c r="NZ23" s="17">
        <v>433858.4</v>
      </c>
      <c r="OA23" s="16" t="s">
        <v>30</v>
      </c>
      <c r="OB23" s="17">
        <v>440505.3</v>
      </c>
      <c r="OC23" s="16" t="s">
        <v>30</v>
      </c>
      <c r="OD23" s="17">
        <v>422807.8</v>
      </c>
      <c r="OE23" s="16" t="s">
        <v>30</v>
      </c>
      <c r="OF23" s="17">
        <v>434773.2</v>
      </c>
      <c r="OG23" s="16" t="s">
        <v>30</v>
      </c>
      <c r="OH23" s="17">
        <v>436927.7</v>
      </c>
      <c r="OI23" s="16" t="s">
        <v>30</v>
      </c>
      <c r="OJ23" s="17">
        <v>444706.6</v>
      </c>
      <c r="OK23" s="16" t="s">
        <v>30</v>
      </c>
      <c r="OL23" s="17">
        <v>423664.4</v>
      </c>
      <c r="OM23" s="16" t="s">
        <v>30</v>
      </c>
      <c r="ON23" s="17">
        <v>435880.2</v>
      </c>
      <c r="OO23" s="16" t="s">
        <v>30</v>
      </c>
      <c r="OP23" s="16" t="s">
        <v>235</v>
      </c>
      <c r="OQ23" s="16" t="s">
        <v>30</v>
      </c>
    </row>
    <row r="24" spans="1:407" x14ac:dyDescent="0.3">
      <c r="A24" s="12" t="s">
        <v>249</v>
      </c>
      <c r="B24" s="13" t="s">
        <v>235</v>
      </c>
      <c r="C24" s="13" t="s">
        <v>30</v>
      </c>
      <c r="D24" s="13" t="s">
        <v>235</v>
      </c>
      <c r="E24" s="13" t="s">
        <v>30</v>
      </c>
      <c r="F24" s="13" t="s">
        <v>235</v>
      </c>
      <c r="G24" s="13" t="s">
        <v>30</v>
      </c>
      <c r="H24" s="13" t="s">
        <v>235</v>
      </c>
      <c r="I24" s="13" t="s">
        <v>30</v>
      </c>
      <c r="J24" s="13" t="s">
        <v>235</v>
      </c>
      <c r="K24" s="13" t="s">
        <v>30</v>
      </c>
      <c r="L24" s="13" t="s">
        <v>235</v>
      </c>
      <c r="M24" s="13" t="s">
        <v>30</v>
      </c>
      <c r="N24" s="13" t="s">
        <v>235</v>
      </c>
      <c r="O24" s="13" t="s">
        <v>30</v>
      </c>
      <c r="P24" s="13" t="s">
        <v>235</v>
      </c>
      <c r="Q24" s="13" t="s">
        <v>30</v>
      </c>
      <c r="R24" s="13" t="s">
        <v>235</v>
      </c>
      <c r="S24" s="13" t="s">
        <v>30</v>
      </c>
      <c r="T24" s="13" t="s">
        <v>235</v>
      </c>
      <c r="U24" s="13" t="s">
        <v>30</v>
      </c>
      <c r="V24" s="13" t="s">
        <v>235</v>
      </c>
      <c r="W24" s="13" t="s">
        <v>30</v>
      </c>
      <c r="X24" s="13" t="s">
        <v>235</v>
      </c>
      <c r="Y24" s="13" t="s">
        <v>30</v>
      </c>
      <c r="Z24" s="13" t="s">
        <v>235</v>
      </c>
      <c r="AA24" s="13" t="s">
        <v>30</v>
      </c>
      <c r="AB24" s="13" t="s">
        <v>235</v>
      </c>
      <c r="AC24" s="13" t="s">
        <v>30</v>
      </c>
      <c r="AD24" s="13" t="s">
        <v>235</v>
      </c>
      <c r="AE24" s="13" t="s">
        <v>30</v>
      </c>
      <c r="AF24" s="13" t="s">
        <v>235</v>
      </c>
      <c r="AG24" s="13" t="s">
        <v>30</v>
      </c>
      <c r="AH24" s="13" t="s">
        <v>235</v>
      </c>
      <c r="AI24" s="13" t="s">
        <v>30</v>
      </c>
      <c r="AJ24" s="13" t="s">
        <v>235</v>
      </c>
      <c r="AK24" s="13" t="s">
        <v>30</v>
      </c>
      <c r="AL24" s="13" t="s">
        <v>235</v>
      </c>
      <c r="AM24" s="13" t="s">
        <v>30</v>
      </c>
      <c r="AN24" s="13" t="s">
        <v>235</v>
      </c>
      <c r="AO24" s="13" t="s">
        <v>30</v>
      </c>
      <c r="AP24" s="13" t="s">
        <v>235</v>
      </c>
      <c r="AQ24" s="13" t="s">
        <v>30</v>
      </c>
      <c r="AR24" s="13" t="s">
        <v>235</v>
      </c>
      <c r="AS24" s="13" t="s">
        <v>30</v>
      </c>
      <c r="AT24" s="13" t="s">
        <v>235</v>
      </c>
      <c r="AU24" s="13" t="s">
        <v>30</v>
      </c>
      <c r="AV24" s="13" t="s">
        <v>235</v>
      </c>
      <c r="AW24" s="13" t="s">
        <v>30</v>
      </c>
      <c r="AX24" s="13" t="s">
        <v>235</v>
      </c>
      <c r="AY24" s="13" t="s">
        <v>30</v>
      </c>
      <c r="AZ24" s="13" t="s">
        <v>235</v>
      </c>
      <c r="BA24" s="13" t="s">
        <v>30</v>
      </c>
      <c r="BB24" s="13" t="s">
        <v>235</v>
      </c>
      <c r="BC24" s="13" t="s">
        <v>30</v>
      </c>
      <c r="BD24" s="13" t="s">
        <v>235</v>
      </c>
      <c r="BE24" s="13" t="s">
        <v>30</v>
      </c>
      <c r="BF24" s="13" t="s">
        <v>235</v>
      </c>
      <c r="BG24" s="13" t="s">
        <v>30</v>
      </c>
      <c r="BH24" s="13" t="s">
        <v>235</v>
      </c>
      <c r="BI24" s="13" t="s">
        <v>30</v>
      </c>
      <c r="BJ24" s="13" t="s">
        <v>235</v>
      </c>
      <c r="BK24" s="13" t="s">
        <v>30</v>
      </c>
      <c r="BL24" s="13" t="s">
        <v>235</v>
      </c>
      <c r="BM24" s="13" t="s">
        <v>30</v>
      </c>
      <c r="BN24" s="13" t="s">
        <v>235</v>
      </c>
      <c r="BO24" s="13" t="s">
        <v>30</v>
      </c>
      <c r="BP24" s="13" t="s">
        <v>235</v>
      </c>
      <c r="BQ24" s="13" t="s">
        <v>30</v>
      </c>
      <c r="BR24" s="13" t="s">
        <v>235</v>
      </c>
      <c r="BS24" s="13" t="s">
        <v>30</v>
      </c>
      <c r="BT24" s="13" t="s">
        <v>235</v>
      </c>
      <c r="BU24" s="13" t="s">
        <v>30</v>
      </c>
      <c r="BV24" s="13" t="s">
        <v>235</v>
      </c>
      <c r="BW24" s="13" t="s">
        <v>30</v>
      </c>
      <c r="BX24" s="13" t="s">
        <v>235</v>
      </c>
      <c r="BY24" s="13" t="s">
        <v>30</v>
      </c>
      <c r="BZ24" s="13" t="s">
        <v>235</v>
      </c>
      <c r="CA24" s="13" t="s">
        <v>30</v>
      </c>
      <c r="CB24" s="13" t="s">
        <v>235</v>
      </c>
      <c r="CC24" s="13" t="s">
        <v>30</v>
      </c>
      <c r="CD24" s="13" t="s">
        <v>235</v>
      </c>
      <c r="CE24" s="13" t="s">
        <v>30</v>
      </c>
      <c r="CF24" s="13" t="s">
        <v>235</v>
      </c>
      <c r="CG24" s="13" t="s">
        <v>30</v>
      </c>
      <c r="CH24" s="13" t="s">
        <v>235</v>
      </c>
      <c r="CI24" s="13" t="s">
        <v>30</v>
      </c>
      <c r="CJ24" s="13" t="s">
        <v>235</v>
      </c>
      <c r="CK24" s="13" t="s">
        <v>30</v>
      </c>
      <c r="CL24" s="13" t="s">
        <v>235</v>
      </c>
      <c r="CM24" s="13" t="s">
        <v>30</v>
      </c>
      <c r="CN24" s="13" t="s">
        <v>235</v>
      </c>
      <c r="CO24" s="13" t="s">
        <v>30</v>
      </c>
      <c r="CP24" s="13" t="s">
        <v>235</v>
      </c>
      <c r="CQ24" s="13" t="s">
        <v>30</v>
      </c>
      <c r="CR24" s="13" t="s">
        <v>235</v>
      </c>
      <c r="CS24" s="13" t="s">
        <v>30</v>
      </c>
      <c r="CT24" s="13" t="s">
        <v>235</v>
      </c>
      <c r="CU24" s="13" t="s">
        <v>30</v>
      </c>
      <c r="CV24" s="13" t="s">
        <v>235</v>
      </c>
      <c r="CW24" s="13" t="s">
        <v>30</v>
      </c>
      <c r="CX24" s="13" t="s">
        <v>235</v>
      </c>
      <c r="CY24" s="13" t="s">
        <v>30</v>
      </c>
      <c r="CZ24" s="13" t="s">
        <v>235</v>
      </c>
      <c r="DA24" s="13" t="s">
        <v>30</v>
      </c>
      <c r="DB24" s="13" t="s">
        <v>235</v>
      </c>
      <c r="DC24" s="13" t="s">
        <v>30</v>
      </c>
      <c r="DD24" s="13" t="s">
        <v>235</v>
      </c>
      <c r="DE24" s="13" t="s">
        <v>30</v>
      </c>
      <c r="DF24" s="13" t="s">
        <v>235</v>
      </c>
      <c r="DG24" s="13" t="s">
        <v>30</v>
      </c>
      <c r="DH24" s="13" t="s">
        <v>235</v>
      </c>
      <c r="DI24" s="13" t="s">
        <v>30</v>
      </c>
      <c r="DJ24" s="13" t="s">
        <v>235</v>
      </c>
      <c r="DK24" s="13" t="s">
        <v>30</v>
      </c>
      <c r="DL24" s="13" t="s">
        <v>235</v>
      </c>
      <c r="DM24" s="13" t="s">
        <v>30</v>
      </c>
      <c r="DN24" s="13" t="s">
        <v>235</v>
      </c>
      <c r="DO24" s="13" t="s">
        <v>30</v>
      </c>
      <c r="DP24" s="13" t="s">
        <v>235</v>
      </c>
      <c r="DQ24" s="13" t="s">
        <v>30</v>
      </c>
      <c r="DR24" s="13" t="s">
        <v>235</v>
      </c>
      <c r="DS24" s="13" t="s">
        <v>30</v>
      </c>
      <c r="DT24" s="13" t="s">
        <v>235</v>
      </c>
      <c r="DU24" s="13" t="s">
        <v>30</v>
      </c>
      <c r="DV24" s="13" t="s">
        <v>235</v>
      </c>
      <c r="DW24" s="13" t="s">
        <v>30</v>
      </c>
      <c r="DX24" s="13" t="s">
        <v>235</v>
      </c>
      <c r="DY24" s="13" t="s">
        <v>30</v>
      </c>
      <c r="DZ24" s="13" t="s">
        <v>235</v>
      </c>
      <c r="EA24" s="13" t="s">
        <v>30</v>
      </c>
      <c r="EB24" s="13" t="s">
        <v>235</v>
      </c>
      <c r="EC24" s="13" t="s">
        <v>30</v>
      </c>
      <c r="ED24" s="13" t="s">
        <v>235</v>
      </c>
      <c r="EE24" s="13" t="s">
        <v>30</v>
      </c>
      <c r="EF24" s="13" t="s">
        <v>235</v>
      </c>
      <c r="EG24" s="13" t="s">
        <v>30</v>
      </c>
      <c r="EH24" s="13" t="s">
        <v>235</v>
      </c>
      <c r="EI24" s="13" t="s">
        <v>30</v>
      </c>
      <c r="EJ24" s="13" t="s">
        <v>235</v>
      </c>
      <c r="EK24" s="13" t="s">
        <v>30</v>
      </c>
      <c r="EL24" s="13" t="s">
        <v>235</v>
      </c>
      <c r="EM24" s="13" t="s">
        <v>30</v>
      </c>
      <c r="EN24" s="13" t="s">
        <v>235</v>
      </c>
      <c r="EO24" s="13" t="s">
        <v>30</v>
      </c>
      <c r="EP24" s="13" t="s">
        <v>235</v>
      </c>
      <c r="EQ24" s="13" t="s">
        <v>30</v>
      </c>
      <c r="ER24" s="13" t="s">
        <v>235</v>
      </c>
      <c r="ES24" s="13" t="s">
        <v>30</v>
      </c>
      <c r="ET24" s="13" t="s">
        <v>235</v>
      </c>
      <c r="EU24" s="13" t="s">
        <v>30</v>
      </c>
      <c r="EV24" s="13" t="s">
        <v>235</v>
      </c>
      <c r="EW24" s="13" t="s">
        <v>30</v>
      </c>
      <c r="EX24" s="13" t="s">
        <v>235</v>
      </c>
      <c r="EY24" s="13" t="s">
        <v>30</v>
      </c>
      <c r="EZ24" s="13" t="s">
        <v>235</v>
      </c>
      <c r="FA24" s="13" t="s">
        <v>30</v>
      </c>
      <c r="FB24" s="13" t="s">
        <v>235</v>
      </c>
      <c r="FC24" s="13" t="s">
        <v>30</v>
      </c>
      <c r="FD24" s="13" t="s">
        <v>235</v>
      </c>
      <c r="FE24" s="13" t="s">
        <v>30</v>
      </c>
      <c r="FF24" s="13" t="s">
        <v>235</v>
      </c>
      <c r="FG24" s="13" t="s">
        <v>30</v>
      </c>
      <c r="FH24" s="13" t="s">
        <v>235</v>
      </c>
      <c r="FI24" s="13" t="s">
        <v>30</v>
      </c>
      <c r="FJ24" s="13" t="s">
        <v>235</v>
      </c>
      <c r="FK24" s="13" t="s">
        <v>30</v>
      </c>
      <c r="FL24" s="13" t="s">
        <v>235</v>
      </c>
      <c r="FM24" s="13" t="s">
        <v>30</v>
      </c>
      <c r="FN24" s="14">
        <v>2488.1</v>
      </c>
      <c r="FO24" s="13" t="s">
        <v>30</v>
      </c>
      <c r="FP24" s="14">
        <v>2618.9</v>
      </c>
      <c r="FQ24" s="13" t="s">
        <v>30</v>
      </c>
      <c r="FR24" s="14">
        <v>2677.2</v>
      </c>
      <c r="FS24" s="13" t="s">
        <v>30</v>
      </c>
      <c r="FT24" s="14">
        <v>2658.9</v>
      </c>
      <c r="FU24" s="13" t="s">
        <v>30</v>
      </c>
      <c r="FV24" s="14">
        <v>2496.4</v>
      </c>
      <c r="FW24" s="13" t="s">
        <v>30</v>
      </c>
      <c r="FX24" s="14">
        <v>2673.3</v>
      </c>
      <c r="FY24" s="13" t="s">
        <v>30</v>
      </c>
      <c r="FZ24" s="14">
        <v>2791.9</v>
      </c>
      <c r="GA24" s="13" t="s">
        <v>30</v>
      </c>
      <c r="GB24" s="14">
        <v>2757.3</v>
      </c>
      <c r="GC24" s="13" t="s">
        <v>30</v>
      </c>
      <c r="GD24" s="14">
        <v>2624.7</v>
      </c>
      <c r="GE24" s="13" t="s">
        <v>30</v>
      </c>
      <c r="GF24" s="14">
        <v>2860.6</v>
      </c>
      <c r="GG24" s="13" t="s">
        <v>30</v>
      </c>
      <c r="GH24" s="14">
        <v>2987.1</v>
      </c>
      <c r="GI24" s="13" t="s">
        <v>30</v>
      </c>
      <c r="GJ24" s="14">
        <v>2901.7</v>
      </c>
      <c r="GK24" s="13" t="s">
        <v>30</v>
      </c>
      <c r="GL24" s="14">
        <v>2754.7</v>
      </c>
      <c r="GM24" s="13" t="s">
        <v>30</v>
      </c>
      <c r="GN24" s="14">
        <v>2996.4</v>
      </c>
      <c r="GO24" s="13" t="s">
        <v>30</v>
      </c>
      <c r="GP24" s="14">
        <v>3109.3</v>
      </c>
      <c r="GQ24" s="13" t="s">
        <v>30</v>
      </c>
      <c r="GR24" s="15">
        <v>3082</v>
      </c>
      <c r="GS24" s="13" t="s">
        <v>30</v>
      </c>
      <c r="GT24" s="14">
        <v>2944.7</v>
      </c>
      <c r="GU24" s="13" t="s">
        <v>30</v>
      </c>
      <c r="GV24" s="14">
        <v>3285.5</v>
      </c>
      <c r="GW24" s="13" t="s">
        <v>30</v>
      </c>
      <c r="GX24" s="14">
        <v>3247.6</v>
      </c>
      <c r="GY24" s="13" t="s">
        <v>30</v>
      </c>
      <c r="GZ24" s="15">
        <v>3177</v>
      </c>
      <c r="HA24" s="13" t="s">
        <v>30</v>
      </c>
      <c r="HB24" s="14">
        <v>3018.1</v>
      </c>
      <c r="HC24" s="13" t="s">
        <v>30</v>
      </c>
      <c r="HD24" s="15">
        <v>3336</v>
      </c>
      <c r="HE24" s="13" t="s">
        <v>30</v>
      </c>
      <c r="HF24" s="14">
        <v>3442.4</v>
      </c>
      <c r="HG24" s="13" t="s">
        <v>30</v>
      </c>
      <c r="HH24" s="14">
        <v>3358.6</v>
      </c>
      <c r="HI24" s="13" t="s">
        <v>30</v>
      </c>
      <c r="HJ24" s="14">
        <v>3144.1</v>
      </c>
      <c r="HK24" s="13" t="s">
        <v>30</v>
      </c>
      <c r="HL24" s="14">
        <v>3468.6</v>
      </c>
      <c r="HM24" s="13" t="s">
        <v>30</v>
      </c>
      <c r="HN24" s="15">
        <v>3510</v>
      </c>
      <c r="HO24" s="13" t="s">
        <v>30</v>
      </c>
      <c r="HP24" s="14">
        <v>3522.2</v>
      </c>
      <c r="HQ24" s="13" t="s">
        <v>30</v>
      </c>
      <c r="HR24" s="14">
        <v>3302.5</v>
      </c>
      <c r="HS24" s="13" t="s">
        <v>30</v>
      </c>
      <c r="HT24" s="14">
        <v>3479.5</v>
      </c>
      <c r="HU24" s="13" t="s">
        <v>30</v>
      </c>
      <c r="HV24" s="15">
        <v>3612</v>
      </c>
      <c r="HW24" s="13" t="s">
        <v>30</v>
      </c>
      <c r="HX24" s="14">
        <v>3608.6</v>
      </c>
      <c r="HY24" s="13" t="s">
        <v>30</v>
      </c>
      <c r="HZ24" s="14">
        <v>3471.4</v>
      </c>
      <c r="IA24" s="13" t="s">
        <v>30</v>
      </c>
      <c r="IB24" s="14">
        <v>3652.9</v>
      </c>
      <c r="IC24" s="13" t="s">
        <v>30</v>
      </c>
      <c r="ID24" s="14">
        <v>3794.7</v>
      </c>
      <c r="IE24" s="13" t="s">
        <v>30</v>
      </c>
      <c r="IF24" s="14">
        <v>3787.6</v>
      </c>
      <c r="IG24" s="13" t="s">
        <v>30</v>
      </c>
      <c r="IH24" s="15">
        <v>3639</v>
      </c>
      <c r="II24" s="13" t="s">
        <v>30</v>
      </c>
      <c r="IJ24" s="14">
        <v>3834.7</v>
      </c>
      <c r="IK24" s="13" t="s">
        <v>30</v>
      </c>
      <c r="IL24" s="14">
        <v>3975.2</v>
      </c>
      <c r="IM24" s="13" t="s">
        <v>30</v>
      </c>
      <c r="IN24" s="14">
        <v>3971.2</v>
      </c>
      <c r="IO24" s="13" t="s">
        <v>30</v>
      </c>
      <c r="IP24" s="14">
        <v>3807.5</v>
      </c>
      <c r="IQ24" s="13" t="s">
        <v>30</v>
      </c>
      <c r="IR24" s="14">
        <v>4053.6</v>
      </c>
      <c r="IS24" s="13" t="s">
        <v>30</v>
      </c>
      <c r="IT24" s="14">
        <v>4148.3999999999996</v>
      </c>
      <c r="IU24" s="13" t="s">
        <v>30</v>
      </c>
      <c r="IV24" s="14">
        <v>4137.6000000000004</v>
      </c>
      <c r="IW24" s="13" t="s">
        <v>30</v>
      </c>
      <c r="IX24" s="14">
        <v>4027.4</v>
      </c>
      <c r="IY24" s="13" t="s">
        <v>30</v>
      </c>
      <c r="IZ24" s="14">
        <v>4235.3</v>
      </c>
      <c r="JA24" s="13" t="s">
        <v>30</v>
      </c>
      <c r="JB24" s="14">
        <v>4342.3999999999996</v>
      </c>
      <c r="JC24" s="13" t="s">
        <v>30</v>
      </c>
      <c r="JD24" s="14">
        <v>4365.3</v>
      </c>
      <c r="JE24" s="13" t="s">
        <v>30</v>
      </c>
      <c r="JF24" s="14">
        <v>4217.8999999999996</v>
      </c>
      <c r="JG24" s="13" t="s">
        <v>30</v>
      </c>
      <c r="JH24" s="14">
        <v>4448.5</v>
      </c>
      <c r="JI24" s="13" t="s">
        <v>30</v>
      </c>
      <c r="JJ24" s="14">
        <v>4500.8999999999996</v>
      </c>
      <c r="JK24" s="13" t="s">
        <v>30</v>
      </c>
      <c r="JL24" s="14">
        <v>4421.8999999999996</v>
      </c>
      <c r="JM24" s="13" t="s">
        <v>30</v>
      </c>
      <c r="JN24" s="14">
        <v>4142.8999999999996</v>
      </c>
      <c r="JO24" s="13" t="s">
        <v>30</v>
      </c>
      <c r="JP24" s="14">
        <v>4352.2</v>
      </c>
      <c r="JQ24" s="13" t="s">
        <v>30</v>
      </c>
      <c r="JR24" s="14">
        <v>4375.8999999999996</v>
      </c>
      <c r="JS24" s="13" t="s">
        <v>30</v>
      </c>
      <c r="JT24" s="14">
        <v>4363.8</v>
      </c>
      <c r="JU24" s="13" t="s">
        <v>30</v>
      </c>
      <c r="JV24" s="14">
        <v>4211.1000000000004</v>
      </c>
      <c r="JW24" s="13" t="s">
        <v>30</v>
      </c>
      <c r="JX24" s="14">
        <v>4442.3</v>
      </c>
      <c r="JY24" s="13" t="s">
        <v>30</v>
      </c>
      <c r="JZ24" s="14">
        <v>4492.2</v>
      </c>
      <c r="KA24" s="13" t="s">
        <v>30</v>
      </c>
      <c r="KB24" s="14">
        <v>4488.8999999999996</v>
      </c>
      <c r="KC24" s="13" t="s">
        <v>30</v>
      </c>
      <c r="KD24" s="14">
        <v>4277.1000000000004</v>
      </c>
      <c r="KE24" s="13" t="s">
        <v>30</v>
      </c>
      <c r="KF24" s="14">
        <v>4524.2</v>
      </c>
      <c r="KG24" s="13" t="s">
        <v>30</v>
      </c>
      <c r="KH24" s="14">
        <v>4450.5</v>
      </c>
      <c r="KI24" s="13" t="s">
        <v>30</v>
      </c>
      <c r="KJ24" s="14">
        <v>4456.2</v>
      </c>
      <c r="KK24" s="13" t="s">
        <v>30</v>
      </c>
      <c r="KL24" s="14">
        <v>4204.3</v>
      </c>
      <c r="KM24" s="13" t="s">
        <v>30</v>
      </c>
      <c r="KN24" s="14">
        <v>4359.1000000000004</v>
      </c>
      <c r="KO24" s="13" t="s">
        <v>30</v>
      </c>
      <c r="KP24" s="14">
        <v>4344.1000000000004</v>
      </c>
      <c r="KQ24" s="13" t="s">
        <v>30</v>
      </c>
      <c r="KR24" s="14">
        <v>4190.2</v>
      </c>
      <c r="KS24" s="13" t="s">
        <v>30</v>
      </c>
      <c r="KT24" s="14">
        <v>3878.2</v>
      </c>
      <c r="KU24" s="13" t="s">
        <v>30</v>
      </c>
      <c r="KV24" s="14">
        <v>4015.5</v>
      </c>
      <c r="KW24" s="13" t="s">
        <v>30</v>
      </c>
      <c r="KX24" s="14">
        <v>4094.8</v>
      </c>
      <c r="KY24" s="13" t="s">
        <v>30</v>
      </c>
      <c r="KZ24" s="14">
        <v>3982.8</v>
      </c>
      <c r="LA24" s="13" t="s">
        <v>30</v>
      </c>
      <c r="LB24" s="15">
        <v>3740</v>
      </c>
      <c r="LC24" s="13" t="s">
        <v>30</v>
      </c>
      <c r="LD24" s="14">
        <v>3989.9</v>
      </c>
      <c r="LE24" s="13" t="s">
        <v>30</v>
      </c>
      <c r="LF24" s="14">
        <v>4031.5</v>
      </c>
      <c r="LG24" s="13" t="s">
        <v>30</v>
      </c>
      <c r="LH24" s="14">
        <v>3926.3</v>
      </c>
      <c r="LI24" s="13" t="s">
        <v>30</v>
      </c>
      <c r="LJ24" s="14">
        <v>3765.8</v>
      </c>
      <c r="LK24" s="13" t="s">
        <v>30</v>
      </c>
      <c r="LL24" s="14">
        <v>4124.8</v>
      </c>
      <c r="LM24" s="13" t="s">
        <v>30</v>
      </c>
      <c r="LN24" s="14">
        <v>4171.7</v>
      </c>
      <c r="LO24" s="13" t="s">
        <v>30</v>
      </c>
      <c r="LP24" s="14">
        <v>4136.7</v>
      </c>
      <c r="LQ24" s="13" t="s">
        <v>30</v>
      </c>
      <c r="LR24" s="14">
        <v>4012.8</v>
      </c>
      <c r="LS24" s="13" t="s">
        <v>30</v>
      </c>
      <c r="LT24" s="14">
        <v>4396.5</v>
      </c>
      <c r="LU24" s="13" t="s">
        <v>30</v>
      </c>
      <c r="LV24" s="14">
        <v>4433.3999999999996</v>
      </c>
      <c r="LW24" s="13" t="s">
        <v>30</v>
      </c>
      <c r="LX24" s="14">
        <v>4421.3999999999996</v>
      </c>
      <c r="LY24" s="13" t="s">
        <v>30</v>
      </c>
      <c r="LZ24" s="14">
        <v>4303.8</v>
      </c>
      <c r="MA24" s="13" t="s">
        <v>30</v>
      </c>
      <c r="MB24" s="14">
        <v>4659.2</v>
      </c>
      <c r="MC24" s="13" t="s">
        <v>30</v>
      </c>
      <c r="MD24" s="14">
        <v>4664.1000000000004</v>
      </c>
      <c r="ME24" s="13" t="s">
        <v>30</v>
      </c>
      <c r="MF24" s="15">
        <v>4633</v>
      </c>
      <c r="MG24" s="13" t="s">
        <v>30</v>
      </c>
      <c r="MH24" s="14">
        <v>4557.7</v>
      </c>
      <c r="MI24" s="13" t="s">
        <v>30</v>
      </c>
      <c r="MJ24" s="14">
        <v>4954.3</v>
      </c>
      <c r="MK24" s="13" t="s">
        <v>30</v>
      </c>
      <c r="ML24" s="14">
        <v>4953.8</v>
      </c>
      <c r="MM24" s="13" t="s">
        <v>30</v>
      </c>
      <c r="MN24" s="14">
        <v>4960.1000000000004</v>
      </c>
      <c r="MO24" s="13" t="s">
        <v>30</v>
      </c>
      <c r="MP24" s="14">
        <v>4818.3</v>
      </c>
      <c r="MQ24" s="13" t="s">
        <v>30</v>
      </c>
      <c r="MR24" s="14">
        <v>5206.7</v>
      </c>
      <c r="MS24" s="13" t="s">
        <v>30</v>
      </c>
      <c r="MT24" s="14">
        <v>5327.1</v>
      </c>
      <c r="MU24" s="13" t="s">
        <v>30</v>
      </c>
      <c r="MV24" s="14">
        <v>5253.1</v>
      </c>
      <c r="MW24" s="13" t="s">
        <v>30</v>
      </c>
      <c r="MX24" s="14">
        <v>4978.2</v>
      </c>
      <c r="MY24" s="13" t="s">
        <v>30</v>
      </c>
      <c r="MZ24" s="15">
        <v>4642</v>
      </c>
      <c r="NA24" s="13" t="s">
        <v>30</v>
      </c>
      <c r="NB24" s="14">
        <v>5105.3</v>
      </c>
      <c r="NC24" s="13" t="s">
        <v>30</v>
      </c>
      <c r="ND24" s="14">
        <v>5233.2</v>
      </c>
      <c r="NE24" s="13" t="s">
        <v>30</v>
      </c>
      <c r="NF24" s="14">
        <v>5180.2</v>
      </c>
      <c r="NG24" s="13" t="s">
        <v>30</v>
      </c>
      <c r="NH24" s="14">
        <v>5479.8</v>
      </c>
      <c r="NI24" s="13" t="s">
        <v>30</v>
      </c>
      <c r="NJ24" s="15">
        <v>5776</v>
      </c>
      <c r="NK24" s="13" t="s">
        <v>30</v>
      </c>
      <c r="NL24" s="14">
        <v>5796.1</v>
      </c>
      <c r="NM24" s="13" t="s">
        <v>30</v>
      </c>
      <c r="NN24" s="15">
        <v>5756</v>
      </c>
      <c r="NO24" s="13" t="s">
        <v>30</v>
      </c>
      <c r="NP24" s="14">
        <v>6006.5</v>
      </c>
      <c r="NQ24" s="13" t="s">
        <v>30</v>
      </c>
      <c r="NR24" s="14">
        <v>6243.4</v>
      </c>
      <c r="NS24" s="13" t="s">
        <v>30</v>
      </c>
      <c r="NT24" s="14">
        <v>6065.7</v>
      </c>
      <c r="NU24" s="13" t="s">
        <v>30</v>
      </c>
      <c r="NV24" s="14">
        <v>5976.4</v>
      </c>
      <c r="NW24" s="13" t="s">
        <v>30</v>
      </c>
      <c r="NX24" s="14">
        <v>6282.1</v>
      </c>
      <c r="NY24" s="13" t="s">
        <v>30</v>
      </c>
      <c r="NZ24" s="14">
        <v>6397.1</v>
      </c>
      <c r="OA24" s="13" t="s">
        <v>30</v>
      </c>
      <c r="OB24" s="15">
        <v>6287</v>
      </c>
      <c r="OC24" s="13" t="s">
        <v>30</v>
      </c>
      <c r="OD24" s="14">
        <v>6255.2</v>
      </c>
      <c r="OE24" s="13" t="s">
        <v>30</v>
      </c>
      <c r="OF24" s="14">
        <v>6503.6</v>
      </c>
      <c r="OG24" s="13" t="s">
        <v>30</v>
      </c>
      <c r="OH24" s="14">
        <v>6672.7</v>
      </c>
      <c r="OI24" s="13" t="s">
        <v>30</v>
      </c>
      <c r="OJ24" s="14">
        <v>6494.4</v>
      </c>
      <c r="OK24" s="13" t="s">
        <v>30</v>
      </c>
      <c r="OL24" s="14">
        <v>6445.6</v>
      </c>
      <c r="OM24" s="13" t="s">
        <v>30</v>
      </c>
      <c r="ON24" s="14">
        <v>6740.7</v>
      </c>
      <c r="OO24" s="13" t="s">
        <v>30</v>
      </c>
      <c r="OP24" s="13" t="s">
        <v>235</v>
      </c>
      <c r="OQ24" s="13" t="s">
        <v>30</v>
      </c>
    </row>
    <row r="25" spans="1:407" x14ac:dyDescent="0.3">
      <c r="A25" s="12" t="s">
        <v>250</v>
      </c>
      <c r="B25" s="16" t="s">
        <v>235</v>
      </c>
      <c r="C25" s="16" t="s">
        <v>30</v>
      </c>
      <c r="D25" s="16" t="s">
        <v>235</v>
      </c>
      <c r="E25" s="16" t="s">
        <v>30</v>
      </c>
      <c r="F25" s="16" t="s">
        <v>235</v>
      </c>
      <c r="G25" s="16" t="s">
        <v>30</v>
      </c>
      <c r="H25" s="16" t="s">
        <v>235</v>
      </c>
      <c r="I25" s="16" t="s">
        <v>30</v>
      </c>
      <c r="J25" s="16" t="s">
        <v>235</v>
      </c>
      <c r="K25" s="16" t="s">
        <v>30</v>
      </c>
      <c r="L25" s="16" t="s">
        <v>235</v>
      </c>
      <c r="M25" s="16" t="s">
        <v>30</v>
      </c>
      <c r="N25" s="16" t="s">
        <v>235</v>
      </c>
      <c r="O25" s="16" t="s">
        <v>30</v>
      </c>
      <c r="P25" s="16" t="s">
        <v>235</v>
      </c>
      <c r="Q25" s="16" t="s">
        <v>30</v>
      </c>
      <c r="R25" s="16" t="s">
        <v>235</v>
      </c>
      <c r="S25" s="16" t="s">
        <v>30</v>
      </c>
      <c r="T25" s="16" t="s">
        <v>235</v>
      </c>
      <c r="U25" s="16" t="s">
        <v>30</v>
      </c>
      <c r="V25" s="16" t="s">
        <v>235</v>
      </c>
      <c r="W25" s="16" t="s">
        <v>30</v>
      </c>
      <c r="X25" s="16" t="s">
        <v>235</v>
      </c>
      <c r="Y25" s="16" t="s">
        <v>30</v>
      </c>
      <c r="Z25" s="16" t="s">
        <v>235</v>
      </c>
      <c r="AA25" s="16" t="s">
        <v>30</v>
      </c>
      <c r="AB25" s="16" t="s">
        <v>235</v>
      </c>
      <c r="AC25" s="16" t="s">
        <v>30</v>
      </c>
      <c r="AD25" s="16" t="s">
        <v>235</v>
      </c>
      <c r="AE25" s="16" t="s">
        <v>30</v>
      </c>
      <c r="AF25" s="16" t="s">
        <v>235</v>
      </c>
      <c r="AG25" s="16" t="s">
        <v>30</v>
      </c>
      <c r="AH25" s="16" t="s">
        <v>235</v>
      </c>
      <c r="AI25" s="16" t="s">
        <v>30</v>
      </c>
      <c r="AJ25" s="16" t="s">
        <v>235</v>
      </c>
      <c r="AK25" s="16" t="s">
        <v>30</v>
      </c>
      <c r="AL25" s="16" t="s">
        <v>235</v>
      </c>
      <c r="AM25" s="16" t="s">
        <v>30</v>
      </c>
      <c r="AN25" s="16" t="s">
        <v>235</v>
      </c>
      <c r="AO25" s="16" t="s">
        <v>30</v>
      </c>
      <c r="AP25" s="16" t="s">
        <v>235</v>
      </c>
      <c r="AQ25" s="16" t="s">
        <v>30</v>
      </c>
      <c r="AR25" s="16" t="s">
        <v>235</v>
      </c>
      <c r="AS25" s="16" t="s">
        <v>30</v>
      </c>
      <c r="AT25" s="16" t="s">
        <v>235</v>
      </c>
      <c r="AU25" s="16" t="s">
        <v>30</v>
      </c>
      <c r="AV25" s="16" t="s">
        <v>235</v>
      </c>
      <c r="AW25" s="16" t="s">
        <v>30</v>
      </c>
      <c r="AX25" s="16" t="s">
        <v>235</v>
      </c>
      <c r="AY25" s="16" t="s">
        <v>30</v>
      </c>
      <c r="AZ25" s="16" t="s">
        <v>235</v>
      </c>
      <c r="BA25" s="16" t="s">
        <v>30</v>
      </c>
      <c r="BB25" s="16" t="s">
        <v>235</v>
      </c>
      <c r="BC25" s="16" t="s">
        <v>30</v>
      </c>
      <c r="BD25" s="16" t="s">
        <v>235</v>
      </c>
      <c r="BE25" s="16" t="s">
        <v>30</v>
      </c>
      <c r="BF25" s="16" t="s">
        <v>235</v>
      </c>
      <c r="BG25" s="16" t="s">
        <v>30</v>
      </c>
      <c r="BH25" s="16" t="s">
        <v>235</v>
      </c>
      <c r="BI25" s="16" t="s">
        <v>30</v>
      </c>
      <c r="BJ25" s="16" t="s">
        <v>235</v>
      </c>
      <c r="BK25" s="16" t="s">
        <v>30</v>
      </c>
      <c r="BL25" s="16" t="s">
        <v>235</v>
      </c>
      <c r="BM25" s="16" t="s">
        <v>30</v>
      </c>
      <c r="BN25" s="16" t="s">
        <v>235</v>
      </c>
      <c r="BO25" s="16" t="s">
        <v>30</v>
      </c>
      <c r="BP25" s="16" t="s">
        <v>235</v>
      </c>
      <c r="BQ25" s="16" t="s">
        <v>30</v>
      </c>
      <c r="BR25" s="16" t="s">
        <v>235</v>
      </c>
      <c r="BS25" s="16" t="s">
        <v>30</v>
      </c>
      <c r="BT25" s="16" t="s">
        <v>235</v>
      </c>
      <c r="BU25" s="16" t="s">
        <v>30</v>
      </c>
      <c r="BV25" s="16" t="s">
        <v>235</v>
      </c>
      <c r="BW25" s="16" t="s">
        <v>30</v>
      </c>
      <c r="BX25" s="16" t="s">
        <v>235</v>
      </c>
      <c r="BY25" s="16" t="s">
        <v>30</v>
      </c>
      <c r="BZ25" s="16" t="s">
        <v>235</v>
      </c>
      <c r="CA25" s="16" t="s">
        <v>30</v>
      </c>
      <c r="CB25" s="16" t="s">
        <v>235</v>
      </c>
      <c r="CC25" s="16" t="s">
        <v>30</v>
      </c>
      <c r="CD25" s="16" t="s">
        <v>235</v>
      </c>
      <c r="CE25" s="16" t="s">
        <v>30</v>
      </c>
      <c r="CF25" s="16" t="s">
        <v>235</v>
      </c>
      <c r="CG25" s="16" t="s">
        <v>30</v>
      </c>
      <c r="CH25" s="16" t="s">
        <v>235</v>
      </c>
      <c r="CI25" s="16" t="s">
        <v>30</v>
      </c>
      <c r="CJ25" s="16" t="s">
        <v>235</v>
      </c>
      <c r="CK25" s="16" t="s">
        <v>30</v>
      </c>
      <c r="CL25" s="16" t="s">
        <v>235</v>
      </c>
      <c r="CM25" s="16" t="s">
        <v>30</v>
      </c>
      <c r="CN25" s="16" t="s">
        <v>235</v>
      </c>
      <c r="CO25" s="16" t="s">
        <v>30</v>
      </c>
      <c r="CP25" s="16" t="s">
        <v>235</v>
      </c>
      <c r="CQ25" s="16" t="s">
        <v>30</v>
      </c>
      <c r="CR25" s="16" t="s">
        <v>235</v>
      </c>
      <c r="CS25" s="16" t="s">
        <v>30</v>
      </c>
      <c r="CT25" s="16" t="s">
        <v>235</v>
      </c>
      <c r="CU25" s="16" t="s">
        <v>30</v>
      </c>
      <c r="CV25" s="16" t="s">
        <v>235</v>
      </c>
      <c r="CW25" s="16" t="s">
        <v>30</v>
      </c>
      <c r="CX25" s="16" t="s">
        <v>235</v>
      </c>
      <c r="CY25" s="16" t="s">
        <v>30</v>
      </c>
      <c r="CZ25" s="16" t="s">
        <v>235</v>
      </c>
      <c r="DA25" s="16" t="s">
        <v>30</v>
      </c>
      <c r="DB25" s="16" t="s">
        <v>235</v>
      </c>
      <c r="DC25" s="16" t="s">
        <v>30</v>
      </c>
      <c r="DD25" s="16" t="s">
        <v>235</v>
      </c>
      <c r="DE25" s="16" t="s">
        <v>30</v>
      </c>
      <c r="DF25" s="16" t="s">
        <v>235</v>
      </c>
      <c r="DG25" s="16" t="s">
        <v>30</v>
      </c>
      <c r="DH25" s="16" t="s">
        <v>235</v>
      </c>
      <c r="DI25" s="16" t="s">
        <v>30</v>
      </c>
      <c r="DJ25" s="16" t="s">
        <v>235</v>
      </c>
      <c r="DK25" s="16" t="s">
        <v>30</v>
      </c>
      <c r="DL25" s="16" t="s">
        <v>235</v>
      </c>
      <c r="DM25" s="16" t="s">
        <v>30</v>
      </c>
      <c r="DN25" s="16" t="s">
        <v>235</v>
      </c>
      <c r="DO25" s="16" t="s">
        <v>30</v>
      </c>
      <c r="DP25" s="16" t="s">
        <v>235</v>
      </c>
      <c r="DQ25" s="16" t="s">
        <v>30</v>
      </c>
      <c r="DR25" s="16" t="s">
        <v>235</v>
      </c>
      <c r="DS25" s="16" t="s">
        <v>30</v>
      </c>
      <c r="DT25" s="16" t="s">
        <v>235</v>
      </c>
      <c r="DU25" s="16" t="s">
        <v>30</v>
      </c>
      <c r="DV25" s="16" t="s">
        <v>235</v>
      </c>
      <c r="DW25" s="16" t="s">
        <v>30</v>
      </c>
      <c r="DX25" s="16" t="s">
        <v>235</v>
      </c>
      <c r="DY25" s="16" t="s">
        <v>30</v>
      </c>
      <c r="DZ25" s="16" t="s">
        <v>235</v>
      </c>
      <c r="EA25" s="16" t="s">
        <v>30</v>
      </c>
      <c r="EB25" s="16" t="s">
        <v>235</v>
      </c>
      <c r="EC25" s="16" t="s">
        <v>30</v>
      </c>
      <c r="ED25" s="16" t="s">
        <v>235</v>
      </c>
      <c r="EE25" s="16" t="s">
        <v>30</v>
      </c>
      <c r="EF25" s="16" t="s">
        <v>235</v>
      </c>
      <c r="EG25" s="16" t="s">
        <v>30</v>
      </c>
      <c r="EH25" s="16" t="s">
        <v>235</v>
      </c>
      <c r="EI25" s="16" t="s">
        <v>30</v>
      </c>
      <c r="EJ25" s="16" t="s">
        <v>235</v>
      </c>
      <c r="EK25" s="16" t="s">
        <v>30</v>
      </c>
      <c r="EL25" s="16" t="s">
        <v>235</v>
      </c>
      <c r="EM25" s="16" t="s">
        <v>30</v>
      </c>
      <c r="EN25" s="16" t="s">
        <v>235</v>
      </c>
      <c r="EO25" s="16" t="s">
        <v>30</v>
      </c>
      <c r="EP25" s="16" t="s">
        <v>235</v>
      </c>
      <c r="EQ25" s="16" t="s">
        <v>30</v>
      </c>
      <c r="ER25" s="16" t="s">
        <v>235</v>
      </c>
      <c r="ES25" s="16" t="s">
        <v>30</v>
      </c>
      <c r="ET25" s="16" t="s">
        <v>235</v>
      </c>
      <c r="EU25" s="16" t="s">
        <v>30</v>
      </c>
      <c r="EV25" s="16" t="s">
        <v>235</v>
      </c>
      <c r="EW25" s="16" t="s">
        <v>30</v>
      </c>
      <c r="EX25" s="16" t="s">
        <v>235</v>
      </c>
      <c r="EY25" s="16" t="s">
        <v>30</v>
      </c>
      <c r="EZ25" s="16" t="s">
        <v>235</v>
      </c>
      <c r="FA25" s="16" t="s">
        <v>30</v>
      </c>
      <c r="FB25" s="16" t="s">
        <v>235</v>
      </c>
      <c r="FC25" s="16" t="s">
        <v>30</v>
      </c>
      <c r="FD25" s="16" t="s">
        <v>235</v>
      </c>
      <c r="FE25" s="16" t="s">
        <v>30</v>
      </c>
      <c r="FF25" s="17">
        <v>2366.1</v>
      </c>
      <c r="FG25" s="16" t="s">
        <v>30</v>
      </c>
      <c r="FH25" s="17">
        <v>2615.3000000000002</v>
      </c>
      <c r="FI25" s="16" t="s">
        <v>30</v>
      </c>
      <c r="FJ25" s="17">
        <v>2545.6999999999998</v>
      </c>
      <c r="FK25" s="16" t="s">
        <v>30</v>
      </c>
      <c r="FL25" s="17">
        <v>2805.3</v>
      </c>
      <c r="FM25" s="16" t="s">
        <v>30</v>
      </c>
      <c r="FN25" s="18">
        <v>2370</v>
      </c>
      <c r="FO25" s="16" t="s">
        <v>30</v>
      </c>
      <c r="FP25" s="18">
        <v>2594</v>
      </c>
      <c r="FQ25" s="16" t="s">
        <v>30</v>
      </c>
      <c r="FR25" s="17">
        <v>2665.6</v>
      </c>
      <c r="FS25" s="16" t="s">
        <v>30</v>
      </c>
      <c r="FT25" s="17">
        <v>2915.3</v>
      </c>
      <c r="FU25" s="16" t="s">
        <v>30</v>
      </c>
      <c r="FV25" s="18">
        <v>2519</v>
      </c>
      <c r="FW25" s="16" t="s">
        <v>30</v>
      </c>
      <c r="FX25" s="17">
        <v>2942.7</v>
      </c>
      <c r="FY25" s="16" t="s">
        <v>30</v>
      </c>
      <c r="FZ25" s="17">
        <v>2943.5</v>
      </c>
      <c r="GA25" s="16" t="s">
        <v>30</v>
      </c>
      <c r="GB25" s="17">
        <v>3146.4</v>
      </c>
      <c r="GC25" s="16" t="s">
        <v>30</v>
      </c>
      <c r="GD25" s="17">
        <v>2849.8</v>
      </c>
      <c r="GE25" s="16" t="s">
        <v>30</v>
      </c>
      <c r="GF25" s="17">
        <v>3167.2</v>
      </c>
      <c r="GG25" s="16" t="s">
        <v>30</v>
      </c>
      <c r="GH25" s="17">
        <v>3102.5</v>
      </c>
      <c r="GI25" s="16" t="s">
        <v>30</v>
      </c>
      <c r="GJ25" s="17">
        <v>3229.9</v>
      </c>
      <c r="GK25" s="16" t="s">
        <v>30</v>
      </c>
      <c r="GL25" s="17">
        <v>2880.8</v>
      </c>
      <c r="GM25" s="16" t="s">
        <v>30</v>
      </c>
      <c r="GN25" s="17">
        <v>3101.4</v>
      </c>
      <c r="GO25" s="16" t="s">
        <v>30</v>
      </c>
      <c r="GP25" s="17">
        <v>3206.7</v>
      </c>
      <c r="GQ25" s="16" t="s">
        <v>30</v>
      </c>
      <c r="GR25" s="17">
        <v>3553.4</v>
      </c>
      <c r="GS25" s="16" t="s">
        <v>30</v>
      </c>
      <c r="GT25" s="17">
        <v>3023.1</v>
      </c>
      <c r="GU25" s="16" t="s">
        <v>30</v>
      </c>
      <c r="GV25" s="17">
        <v>3337.1</v>
      </c>
      <c r="GW25" s="16" t="s">
        <v>30</v>
      </c>
      <c r="GX25" s="17">
        <v>3411.4</v>
      </c>
      <c r="GY25" s="16" t="s">
        <v>30</v>
      </c>
      <c r="GZ25" s="17">
        <v>3689.1</v>
      </c>
      <c r="HA25" s="16" t="s">
        <v>30</v>
      </c>
      <c r="HB25" s="17">
        <v>3144.8</v>
      </c>
      <c r="HC25" s="16" t="s">
        <v>30</v>
      </c>
      <c r="HD25" s="17">
        <v>3674.9</v>
      </c>
      <c r="HE25" s="16" t="s">
        <v>30</v>
      </c>
      <c r="HF25" s="17">
        <v>3515.8</v>
      </c>
      <c r="HG25" s="16" t="s">
        <v>30</v>
      </c>
      <c r="HH25" s="17">
        <v>4010.8</v>
      </c>
      <c r="HI25" s="16" t="s">
        <v>30</v>
      </c>
      <c r="HJ25" s="17">
        <v>3289.2</v>
      </c>
      <c r="HK25" s="16" t="s">
        <v>30</v>
      </c>
      <c r="HL25" s="17">
        <v>3919.5</v>
      </c>
      <c r="HM25" s="16" t="s">
        <v>30</v>
      </c>
      <c r="HN25" s="17">
        <v>3894.5</v>
      </c>
      <c r="HO25" s="16" t="s">
        <v>30</v>
      </c>
      <c r="HP25" s="17">
        <v>4375.8999999999996</v>
      </c>
      <c r="HQ25" s="16" t="s">
        <v>30</v>
      </c>
      <c r="HR25" s="17">
        <v>3613.9</v>
      </c>
      <c r="HS25" s="16" t="s">
        <v>30</v>
      </c>
      <c r="HT25" s="17">
        <v>4212.7</v>
      </c>
      <c r="HU25" s="16" t="s">
        <v>30</v>
      </c>
      <c r="HV25" s="17">
        <v>4256.3</v>
      </c>
      <c r="HW25" s="16" t="s">
        <v>30</v>
      </c>
      <c r="HX25" s="17">
        <v>4690.3</v>
      </c>
      <c r="HY25" s="16" t="s">
        <v>30</v>
      </c>
      <c r="HZ25" s="17">
        <v>3946.7</v>
      </c>
      <c r="IA25" s="16" t="s">
        <v>30</v>
      </c>
      <c r="IB25" s="17">
        <v>4618.3</v>
      </c>
      <c r="IC25" s="16" t="s">
        <v>30</v>
      </c>
      <c r="ID25" s="17">
        <v>4584.3999999999996</v>
      </c>
      <c r="IE25" s="16" t="s">
        <v>30</v>
      </c>
      <c r="IF25" s="18">
        <v>5091</v>
      </c>
      <c r="IG25" s="16" t="s">
        <v>30</v>
      </c>
      <c r="IH25" s="17">
        <v>4268.5</v>
      </c>
      <c r="II25" s="16" t="s">
        <v>30</v>
      </c>
      <c r="IJ25" s="17">
        <v>5054.3999999999996</v>
      </c>
      <c r="IK25" s="16" t="s">
        <v>30</v>
      </c>
      <c r="IL25" s="18">
        <v>5257</v>
      </c>
      <c r="IM25" s="16" t="s">
        <v>30</v>
      </c>
      <c r="IN25" s="17">
        <v>5830.6</v>
      </c>
      <c r="IO25" s="16" t="s">
        <v>30</v>
      </c>
      <c r="IP25" s="18">
        <v>4769</v>
      </c>
      <c r="IQ25" s="16" t="s">
        <v>30</v>
      </c>
      <c r="IR25" s="17">
        <v>5698.5</v>
      </c>
      <c r="IS25" s="16" t="s">
        <v>30</v>
      </c>
      <c r="IT25" s="17">
        <v>5863.3</v>
      </c>
      <c r="IU25" s="16" t="s">
        <v>30</v>
      </c>
      <c r="IV25" s="17">
        <v>6598.9</v>
      </c>
      <c r="IW25" s="16" t="s">
        <v>30</v>
      </c>
      <c r="IX25" s="17">
        <v>5432.6</v>
      </c>
      <c r="IY25" s="16" t="s">
        <v>30</v>
      </c>
      <c r="IZ25" s="17">
        <v>6360.1</v>
      </c>
      <c r="JA25" s="16" t="s">
        <v>30</v>
      </c>
      <c r="JB25" s="17">
        <v>6456.2</v>
      </c>
      <c r="JC25" s="16" t="s">
        <v>30</v>
      </c>
      <c r="JD25" s="17">
        <v>6864.5</v>
      </c>
      <c r="JE25" s="16" t="s">
        <v>30</v>
      </c>
      <c r="JF25" s="17">
        <v>5656.1</v>
      </c>
      <c r="JG25" s="16" t="s">
        <v>30</v>
      </c>
      <c r="JH25" s="17">
        <v>6351.9</v>
      </c>
      <c r="JI25" s="16" t="s">
        <v>30</v>
      </c>
      <c r="JJ25" s="17">
        <v>6144.7</v>
      </c>
      <c r="JK25" s="16" t="s">
        <v>30</v>
      </c>
      <c r="JL25" s="17">
        <v>6499.6</v>
      </c>
      <c r="JM25" s="16" t="s">
        <v>30</v>
      </c>
      <c r="JN25" s="17">
        <v>5052.1000000000004</v>
      </c>
      <c r="JO25" s="16" t="s">
        <v>30</v>
      </c>
      <c r="JP25" s="17">
        <v>5379.6</v>
      </c>
      <c r="JQ25" s="16" t="s">
        <v>30</v>
      </c>
      <c r="JR25" s="17">
        <v>5220.8999999999996</v>
      </c>
      <c r="JS25" s="16" t="s">
        <v>30</v>
      </c>
      <c r="JT25" s="17">
        <v>5615.3</v>
      </c>
      <c r="JU25" s="16" t="s">
        <v>30</v>
      </c>
      <c r="JV25" s="17">
        <v>4513.2</v>
      </c>
      <c r="JW25" s="16" t="s">
        <v>30</v>
      </c>
      <c r="JX25" s="17">
        <v>5098.6000000000004</v>
      </c>
      <c r="JY25" s="16" t="s">
        <v>30</v>
      </c>
      <c r="JZ25" s="17">
        <v>5171.5</v>
      </c>
      <c r="KA25" s="16" t="s">
        <v>30</v>
      </c>
      <c r="KB25" s="17">
        <v>5574.5</v>
      </c>
      <c r="KC25" s="16" t="s">
        <v>30</v>
      </c>
      <c r="KD25" s="17">
        <v>4539.7</v>
      </c>
      <c r="KE25" s="16" t="s">
        <v>30</v>
      </c>
      <c r="KF25" s="17">
        <v>5228.8999999999996</v>
      </c>
      <c r="KG25" s="16" t="s">
        <v>30</v>
      </c>
      <c r="KH25" s="17">
        <v>5395.8</v>
      </c>
      <c r="KI25" s="16" t="s">
        <v>30</v>
      </c>
      <c r="KJ25" s="17">
        <v>5730.1</v>
      </c>
      <c r="KK25" s="16" t="s">
        <v>30</v>
      </c>
      <c r="KL25" s="17">
        <v>4978.7</v>
      </c>
      <c r="KM25" s="16" t="s">
        <v>30</v>
      </c>
      <c r="KN25" s="17">
        <v>5590.4</v>
      </c>
      <c r="KO25" s="16" t="s">
        <v>30</v>
      </c>
      <c r="KP25" s="17">
        <v>5749.6</v>
      </c>
      <c r="KQ25" s="16" t="s">
        <v>30</v>
      </c>
      <c r="KR25" s="18">
        <v>6021</v>
      </c>
      <c r="KS25" s="16" t="s">
        <v>30</v>
      </c>
      <c r="KT25" s="17">
        <v>4963.3999999999996</v>
      </c>
      <c r="KU25" s="16" t="s">
        <v>30</v>
      </c>
      <c r="KV25" s="17">
        <v>5656.7</v>
      </c>
      <c r="KW25" s="16" t="s">
        <v>30</v>
      </c>
      <c r="KX25" s="17">
        <v>5900.1</v>
      </c>
      <c r="KY25" s="16" t="s">
        <v>30</v>
      </c>
      <c r="KZ25" s="17">
        <v>6136.5</v>
      </c>
      <c r="LA25" s="16" t="s">
        <v>30</v>
      </c>
      <c r="LB25" s="18">
        <v>5115</v>
      </c>
      <c r="LC25" s="16" t="s">
        <v>30</v>
      </c>
      <c r="LD25" s="17">
        <v>5758.8</v>
      </c>
      <c r="LE25" s="16" t="s">
        <v>30</v>
      </c>
      <c r="LF25" s="17">
        <v>5999.6</v>
      </c>
      <c r="LG25" s="16" t="s">
        <v>30</v>
      </c>
      <c r="LH25" s="17">
        <v>6195.3</v>
      </c>
      <c r="LI25" s="16" t="s">
        <v>30</v>
      </c>
      <c r="LJ25" s="17">
        <v>5221.6000000000004</v>
      </c>
      <c r="LK25" s="16" t="s">
        <v>30</v>
      </c>
      <c r="LL25" s="17">
        <v>5988.5</v>
      </c>
      <c r="LM25" s="16" t="s">
        <v>30</v>
      </c>
      <c r="LN25" s="17">
        <v>6248.4</v>
      </c>
      <c r="LO25" s="16" t="s">
        <v>30</v>
      </c>
      <c r="LP25" s="17">
        <v>6426.2</v>
      </c>
      <c r="LQ25" s="16" t="s">
        <v>30</v>
      </c>
      <c r="LR25" s="17">
        <v>5399.9</v>
      </c>
      <c r="LS25" s="16" t="s">
        <v>30</v>
      </c>
      <c r="LT25" s="18">
        <v>6122</v>
      </c>
      <c r="LU25" s="16" t="s">
        <v>30</v>
      </c>
      <c r="LV25" s="17">
        <v>6292.3</v>
      </c>
      <c r="LW25" s="16" t="s">
        <v>30</v>
      </c>
      <c r="LX25" s="17">
        <v>6548.3</v>
      </c>
      <c r="LY25" s="16" t="s">
        <v>30</v>
      </c>
      <c r="LZ25" s="17">
        <v>5570.7</v>
      </c>
      <c r="MA25" s="16" t="s">
        <v>30</v>
      </c>
      <c r="MB25" s="17">
        <v>6292.3</v>
      </c>
      <c r="MC25" s="16" t="s">
        <v>30</v>
      </c>
      <c r="MD25" s="17">
        <v>6536.4</v>
      </c>
      <c r="ME25" s="16" t="s">
        <v>30</v>
      </c>
      <c r="MF25" s="17">
        <v>6790.9</v>
      </c>
      <c r="MG25" s="16" t="s">
        <v>30</v>
      </c>
      <c r="MH25" s="18">
        <v>5625</v>
      </c>
      <c r="MI25" s="16" t="s">
        <v>30</v>
      </c>
      <c r="MJ25" s="17">
        <v>6580.3</v>
      </c>
      <c r="MK25" s="16" t="s">
        <v>30</v>
      </c>
      <c r="ML25" s="17">
        <v>6794.1</v>
      </c>
      <c r="MM25" s="16" t="s">
        <v>30</v>
      </c>
      <c r="MN25" s="17">
        <v>7120.4</v>
      </c>
      <c r="MO25" s="16" t="s">
        <v>30</v>
      </c>
      <c r="MP25" s="17">
        <v>5718.9</v>
      </c>
      <c r="MQ25" s="16" t="s">
        <v>30</v>
      </c>
      <c r="MR25" s="17">
        <v>6617.8</v>
      </c>
      <c r="MS25" s="16" t="s">
        <v>30</v>
      </c>
      <c r="MT25" s="17">
        <v>6900.7</v>
      </c>
      <c r="MU25" s="16" t="s">
        <v>30</v>
      </c>
      <c r="MV25" s="18">
        <v>7046</v>
      </c>
      <c r="MW25" s="16" t="s">
        <v>30</v>
      </c>
      <c r="MX25" s="17">
        <v>5726.4</v>
      </c>
      <c r="MY25" s="16" t="s">
        <v>30</v>
      </c>
      <c r="MZ25" s="17">
        <v>6007.5</v>
      </c>
      <c r="NA25" s="16" t="s">
        <v>30</v>
      </c>
      <c r="NB25" s="17">
        <v>6649.4</v>
      </c>
      <c r="NC25" s="16" t="s">
        <v>30</v>
      </c>
      <c r="ND25" s="17">
        <v>6983.7</v>
      </c>
      <c r="NE25" s="16" t="s">
        <v>30</v>
      </c>
      <c r="NF25" s="17">
        <v>5803.4</v>
      </c>
      <c r="NG25" s="16" t="s">
        <v>30</v>
      </c>
      <c r="NH25" s="17">
        <v>6790.5</v>
      </c>
      <c r="NI25" s="16" t="s">
        <v>30</v>
      </c>
      <c r="NJ25" s="17">
        <v>7187.1</v>
      </c>
      <c r="NK25" s="16" t="s">
        <v>30</v>
      </c>
      <c r="NL25" s="18">
        <v>7438</v>
      </c>
      <c r="NM25" s="16" t="s">
        <v>30</v>
      </c>
      <c r="NN25" s="17">
        <v>6317.5</v>
      </c>
      <c r="NO25" s="16" t="s">
        <v>30</v>
      </c>
      <c r="NP25" s="17">
        <v>6970.8</v>
      </c>
      <c r="NQ25" s="16" t="s">
        <v>30</v>
      </c>
      <c r="NR25" s="17">
        <v>7169.8</v>
      </c>
      <c r="NS25" s="16" t="s">
        <v>30</v>
      </c>
      <c r="NT25" s="17">
        <v>7226.4</v>
      </c>
      <c r="NU25" s="16" t="s">
        <v>30</v>
      </c>
      <c r="NV25" s="17">
        <v>6614.9</v>
      </c>
      <c r="NW25" s="16" t="s">
        <v>30</v>
      </c>
      <c r="NX25" s="17">
        <v>6838.1</v>
      </c>
      <c r="NY25" s="16" t="s">
        <v>30</v>
      </c>
      <c r="NZ25" s="17">
        <v>7103.2</v>
      </c>
      <c r="OA25" s="16" t="s">
        <v>30</v>
      </c>
      <c r="OB25" s="17">
        <v>6983.4</v>
      </c>
      <c r="OC25" s="16" t="s">
        <v>30</v>
      </c>
      <c r="OD25" s="17">
        <v>6510.6</v>
      </c>
      <c r="OE25" s="16" t="s">
        <v>30</v>
      </c>
      <c r="OF25" s="17">
        <v>6810.9</v>
      </c>
      <c r="OG25" s="16" t="s">
        <v>30</v>
      </c>
      <c r="OH25" s="17">
        <v>7190.9</v>
      </c>
      <c r="OI25" s="16" t="s">
        <v>30</v>
      </c>
      <c r="OJ25" s="17">
        <v>6987.4</v>
      </c>
      <c r="OK25" s="16" t="s">
        <v>30</v>
      </c>
      <c r="OL25" s="17">
        <v>6592.3</v>
      </c>
      <c r="OM25" s="16" t="s">
        <v>30</v>
      </c>
      <c r="ON25" s="17">
        <v>6872.5</v>
      </c>
      <c r="OO25" s="16" t="s">
        <v>30</v>
      </c>
      <c r="OP25" s="16" t="s">
        <v>235</v>
      </c>
      <c r="OQ25" s="16" t="s">
        <v>30</v>
      </c>
    </row>
    <row r="26" spans="1:407" x14ac:dyDescent="0.3">
      <c r="A26" s="12" t="s">
        <v>251</v>
      </c>
      <c r="B26" s="13" t="s">
        <v>235</v>
      </c>
      <c r="C26" s="13" t="s">
        <v>30</v>
      </c>
      <c r="D26" s="13" t="s">
        <v>235</v>
      </c>
      <c r="E26" s="13" t="s">
        <v>30</v>
      </c>
      <c r="F26" s="13" t="s">
        <v>235</v>
      </c>
      <c r="G26" s="13" t="s">
        <v>30</v>
      </c>
      <c r="H26" s="13" t="s">
        <v>235</v>
      </c>
      <c r="I26" s="13" t="s">
        <v>30</v>
      </c>
      <c r="J26" s="13" t="s">
        <v>235</v>
      </c>
      <c r="K26" s="13" t="s">
        <v>30</v>
      </c>
      <c r="L26" s="13" t="s">
        <v>235</v>
      </c>
      <c r="M26" s="13" t="s">
        <v>30</v>
      </c>
      <c r="N26" s="13" t="s">
        <v>235</v>
      </c>
      <c r="O26" s="13" t="s">
        <v>30</v>
      </c>
      <c r="P26" s="13" t="s">
        <v>235</v>
      </c>
      <c r="Q26" s="13" t="s">
        <v>30</v>
      </c>
      <c r="R26" s="13" t="s">
        <v>235</v>
      </c>
      <c r="S26" s="13" t="s">
        <v>30</v>
      </c>
      <c r="T26" s="13" t="s">
        <v>235</v>
      </c>
      <c r="U26" s="13" t="s">
        <v>30</v>
      </c>
      <c r="V26" s="13" t="s">
        <v>235</v>
      </c>
      <c r="W26" s="13" t="s">
        <v>30</v>
      </c>
      <c r="X26" s="13" t="s">
        <v>235</v>
      </c>
      <c r="Y26" s="13" t="s">
        <v>30</v>
      </c>
      <c r="Z26" s="13" t="s">
        <v>235</v>
      </c>
      <c r="AA26" s="13" t="s">
        <v>30</v>
      </c>
      <c r="AB26" s="13" t="s">
        <v>235</v>
      </c>
      <c r="AC26" s="13" t="s">
        <v>30</v>
      </c>
      <c r="AD26" s="13" t="s">
        <v>235</v>
      </c>
      <c r="AE26" s="13" t="s">
        <v>30</v>
      </c>
      <c r="AF26" s="13" t="s">
        <v>235</v>
      </c>
      <c r="AG26" s="13" t="s">
        <v>30</v>
      </c>
      <c r="AH26" s="13" t="s">
        <v>235</v>
      </c>
      <c r="AI26" s="13" t="s">
        <v>30</v>
      </c>
      <c r="AJ26" s="13" t="s">
        <v>235</v>
      </c>
      <c r="AK26" s="13" t="s">
        <v>30</v>
      </c>
      <c r="AL26" s="13" t="s">
        <v>235</v>
      </c>
      <c r="AM26" s="13" t="s">
        <v>30</v>
      </c>
      <c r="AN26" s="13" t="s">
        <v>235</v>
      </c>
      <c r="AO26" s="13" t="s">
        <v>30</v>
      </c>
      <c r="AP26" s="13" t="s">
        <v>235</v>
      </c>
      <c r="AQ26" s="13" t="s">
        <v>30</v>
      </c>
      <c r="AR26" s="13" t="s">
        <v>235</v>
      </c>
      <c r="AS26" s="13" t="s">
        <v>30</v>
      </c>
      <c r="AT26" s="13" t="s">
        <v>235</v>
      </c>
      <c r="AU26" s="13" t="s">
        <v>30</v>
      </c>
      <c r="AV26" s="13" t="s">
        <v>235</v>
      </c>
      <c r="AW26" s="13" t="s">
        <v>30</v>
      </c>
      <c r="AX26" s="13" t="s">
        <v>235</v>
      </c>
      <c r="AY26" s="13" t="s">
        <v>30</v>
      </c>
      <c r="AZ26" s="13" t="s">
        <v>235</v>
      </c>
      <c r="BA26" s="13" t="s">
        <v>30</v>
      </c>
      <c r="BB26" s="13" t="s">
        <v>235</v>
      </c>
      <c r="BC26" s="13" t="s">
        <v>30</v>
      </c>
      <c r="BD26" s="13" t="s">
        <v>235</v>
      </c>
      <c r="BE26" s="13" t="s">
        <v>30</v>
      </c>
      <c r="BF26" s="13" t="s">
        <v>235</v>
      </c>
      <c r="BG26" s="13" t="s">
        <v>30</v>
      </c>
      <c r="BH26" s="13" t="s">
        <v>235</v>
      </c>
      <c r="BI26" s="13" t="s">
        <v>30</v>
      </c>
      <c r="BJ26" s="13" t="s">
        <v>235</v>
      </c>
      <c r="BK26" s="13" t="s">
        <v>30</v>
      </c>
      <c r="BL26" s="13" t="s">
        <v>235</v>
      </c>
      <c r="BM26" s="13" t="s">
        <v>30</v>
      </c>
      <c r="BN26" s="13" t="s">
        <v>235</v>
      </c>
      <c r="BO26" s="13" t="s">
        <v>30</v>
      </c>
      <c r="BP26" s="13" t="s">
        <v>235</v>
      </c>
      <c r="BQ26" s="13" t="s">
        <v>30</v>
      </c>
      <c r="BR26" s="13" t="s">
        <v>235</v>
      </c>
      <c r="BS26" s="13" t="s">
        <v>30</v>
      </c>
      <c r="BT26" s="13" t="s">
        <v>235</v>
      </c>
      <c r="BU26" s="13" t="s">
        <v>30</v>
      </c>
      <c r="BV26" s="13" t="s">
        <v>235</v>
      </c>
      <c r="BW26" s="13" t="s">
        <v>30</v>
      </c>
      <c r="BX26" s="13" t="s">
        <v>235</v>
      </c>
      <c r="BY26" s="13" t="s">
        <v>30</v>
      </c>
      <c r="BZ26" s="13" t="s">
        <v>235</v>
      </c>
      <c r="CA26" s="13" t="s">
        <v>30</v>
      </c>
      <c r="CB26" s="13" t="s">
        <v>235</v>
      </c>
      <c r="CC26" s="13" t="s">
        <v>30</v>
      </c>
      <c r="CD26" s="13" t="s">
        <v>235</v>
      </c>
      <c r="CE26" s="13" t="s">
        <v>30</v>
      </c>
      <c r="CF26" s="13" t="s">
        <v>235</v>
      </c>
      <c r="CG26" s="13" t="s">
        <v>30</v>
      </c>
      <c r="CH26" s="13" t="s">
        <v>235</v>
      </c>
      <c r="CI26" s="13" t="s">
        <v>30</v>
      </c>
      <c r="CJ26" s="13" t="s">
        <v>235</v>
      </c>
      <c r="CK26" s="13" t="s">
        <v>30</v>
      </c>
      <c r="CL26" s="13" t="s">
        <v>235</v>
      </c>
      <c r="CM26" s="13" t="s">
        <v>30</v>
      </c>
      <c r="CN26" s="13" t="s">
        <v>235</v>
      </c>
      <c r="CO26" s="13" t="s">
        <v>30</v>
      </c>
      <c r="CP26" s="13" t="s">
        <v>235</v>
      </c>
      <c r="CQ26" s="13" t="s">
        <v>30</v>
      </c>
      <c r="CR26" s="13" t="s">
        <v>235</v>
      </c>
      <c r="CS26" s="13" t="s">
        <v>30</v>
      </c>
      <c r="CT26" s="13" t="s">
        <v>235</v>
      </c>
      <c r="CU26" s="13" t="s">
        <v>30</v>
      </c>
      <c r="CV26" s="13" t="s">
        <v>235</v>
      </c>
      <c r="CW26" s="13" t="s">
        <v>30</v>
      </c>
      <c r="CX26" s="13" t="s">
        <v>235</v>
      </c>
      <c r="CY26" s="13" t="s">
        <v>30</v>
      </c>
      <c r="CZ26" s="13" t="s">
        <v>235</v>
      </c>
      <c r="DA26" s="13" t="s">
        <v>30</v>
      </c>
      <c r="DB26" s="13" t="s">
        <v>235</v>
      </c>
      <c r="DC26" s="13" t="s">
        <v>30</v>
      </c>
      <c r="DD26" s="13" t="s">
        <v>235</v>
      </c>
      <c r="DE26" s="13" t="s">
        <v>30</v>
      </c>
      <c r="DF26" s="13" t="s">
        <v>235</v>
      </c>
      <c r="DG26" s="13" t="s">
        <v>30</v>
      </c>
      <c r="DH26" s="13" t="s">
        <v>235</v>
      </c>
      <c r="DI26" s="13" t="s">
        <v>30</v>
      </c>
      <c r="DJ26" s="13" t="s">
        <v>235</v>
      </c>
      <c r="DK26" s="13" t="s">
        <v>30</v>
      </c>
      <c r="DL26" s="13" t="s">
        <v>235</v>
      </c>
      <c r="DM26" s="13" t="s">
        <v>30</v>
      </c>
      <c r="DN26" s="13" t="s">
        <v>235</v>
      </c>
      <c r="DO26" s="13" t="s">
        <v>30</v>
      </c>
      <c r="DP26" s="13" t="s">
        <v>235</v>
      </c>
      <c r="DQ26" s="13" t="s">
        <v>30</v>
      </c>
      <c r="DR26" s="13" t="s">
        <v>235</v>
      </c>
      <c r="DS26" s="13" t="s">
        <v>30</v>
      </c>
      <c r="DT26" s="13" t="s">
        <v>235</v>
      </c>
      <c r="DU26" s="13" t="s">
        <v>30</v>
      </c>
      <c r="DV26" s="13" t="s">
        <v>235</v>
      </c>
      <c r="DW26" s="13" t="s">
        <v>30</v>
      </c>
      <c r="DX26" s="13" t="s">
        <v>235</v>
      </c>
      <c r="DY26" s="13" t="s">
        <v>30</v>
      </c>
      <c r="DZ26" s="13" t="s">
        <v>235</v>
      </c>
      <c r="EA26" s="13" t="s">
        <v>30</v>
      </c>
      <c r="EB26" s="13" t="s">
        <v>235</v>
      </c>
      <c r="EC26" s="13" t="s">
        <v>30</v>
      </c>
      <c r="ED26" s="13" t="s">
        <v>235</v>
      </c>
      <c r="EE26" s="13" t="s">
        <v>30</v>
      </c>
      <c r="EF26" s="13" t="s">
        <v>235</v>
      </c>
      <c r="EG26" s="13" t="s">
        <v>30</v>
      </c>
      <c r="EH26" s="13" t="s">
        <v>235</v>
      </c>
      <c r="EI26" s="13" t="s">
        <v>30</v>
      </c>
      <c r="EJ26" s="13" t="s">
        <v>235</v>
      </c>
      <c r="EK26" s="13" t="s">
        <v>30</v>
      </c>
      <c r="EL26" s="13" t="s">
        <v>235</v>
      </c>
      <c r="EM26" s="13" t="s">
        <v>30</v>
      </c>
      <c r="EN26" s="13" t="s">
        <v>235</v>
      </c>
      <c r="EO26" s="13" t="s">
        <v>30</v>
      </c>
      <c r="EP26" s="13" t="s">
        <v>235</v>
      </c>
      <c r="EQ26" s="13" t="s">
        <v>30</v>
      </c>
      <c r="ER26" s="13" t="s">
        <v>235</v>
      </c>
      <c r="ES26" s="13" t="s">
        <v>30</v>
      </c>
      <c r="ET26" s="13" t="s">
        <v>235</v>
      </c>
      <c r="EU26" s="13" t="s">
        <v>30</v>
      </c>
      <c r="EV26" s="13" t="s">
        <v>235</v>
      </c>
      <c r="EW26" s="13" t="s">
        <v>30</v>
      </c>
      <c r="EX26" s="13" t="s">
        <v>235</v>
      </c>
      <c r="EY26" s="13" t="s">
        <v>30</v>
      </c>
      <c r="EZ26" s="13" t="s">
        <v>235</v>
      </c>
      <c r="FA26" s="13" t="s">
        <v>30</v>
      </c>
      <c r="FB26" s="13" t="s">
        <v>235</v>
      </c>
      <c r="FC26" s="13" t="s">
        <v>30</v>
      </c>
      <c r="FD26" s="13" t="s">
        <v>235</v>
      </c>
      <c r="FE26" s="13" t="s">
        <v>30</v>
      </c>
      <c r="FF26" s="14">
        <v>3588.5</v>
      </c>
      <c r="FG26" s="13" t="s">
        <v>30</v>
      </c>
      <c r="FH26" s="14">
        <v>3957.5</v>
      </c>
      <c r="FI26" s="13" t="s">
        <v>30</v>
      </c>
      <c r="FJ26" s="14">
        <v>4496.1000000000004</v>
      </c>
      <c r="FK26" s="13" t="s">
        <v>30</v>
      </c>
      <c r="FL26" s="14">
        <v>4326.8</v>
      </c>
      <c r="FM26" s="13" t="s">
        <v>30</v>
      </c>
      <c r="FN26" s="14">
        <v>3769.6</v>
      </c>
      <c r="FO26" s="13" t="s">
        <v>30</v>
      </c>
      <c r="FP26" s="14">
        <v>4040.5</v>
      </c>
      <c r="FQ26" s="13" t="s">
        <v>30</v>
      </c>
      <c r="FR26" s="14">
        <v>4856.6000000000004</v>
      </c>
      <c r="FS26" s="13" t="s">
        <v>30</v>
      </c>
      <c r="FT26" s="15">
        <v>4525</v>
      </c>
      <c r="FU26" s="13" t="s">
        <v>30</v>
      </c>
      <c r="FV26" s="14">
        <v>3940.8</v>
      </c>
      <c r="FW26" s="13" t="s">
        <v>30</v>
      </c>
      <c r="FX26" s="14">
        <v>4446.5</v>
      </c>
      <c r="FY26" s="13" t="s">
        <v>30</v>
      </c>
      <c r="FZ26" s="15">
        <v>5264</v>
      </c>
      <c r="GA26" s="13" t="s">
        <v>30</v>
      </c>
      <c r="GB26" s="14">
        <v>4967.5</v>
      </c>
      <c r="GC26" s="13" t="s">
        <v>30</v>
      </c>
      <c r="GD26" s="15">
        <v>4368</v>
      </c>
      <c r="GE26" s="13" t="s">
        <v>30</v>
      </c>
      <c r="GF26" s="14">
        <v>4905.6000000000004</v>
      </c>
      <c r="GG26" s="13" t="s">
        <v>30</v>
      </c>
      <c r="GH26" s="14">
        <v>5564.1</v>
      </c>
      <c r="GI26" s="13" t="s">
        <v>30</v>
      </c>
      <c r="GJ26" s="14">
        <v>5170.6000000000004</v>
      </c>
      <c r="GK26" s="13" t="s">
        <v>30</v>
      </c>
      <c r="GL26" s="14">
        <v>4491.3999999999996</v>
      </c>
      <c r="GM26" s="13" t="s">
        <v>30</v>
      </c>
      <c r="GN26" s="14">
        <v>4959.1000000000004</v>
      </c>
      <c r="GO26" s="13" t="s">
        <v>30</v>
      </c>
      <c r="GP26" s="14">
        <v>5337.1</v>
      </c>
      <c r="GQ26" s="13" t="s">
        <v>30</v>
      </c>
      <c r="GR26" s="14">
        <v>5001.1000000000004</v>
      </c>
      <c r="GS26" s="13" t="s">
        <v>30</v>
      </c>
      <c r="GT26" s="14">
        <v>4681.8999999999996</v>
      </c>
      <c r="GU26" s="13" t="s">
        <v>30</v>
      </c>
      <c r="GV26" s="14">
        <v>5033.2</v>
      </c>
      <c r="GW26" s="13" t="s">
        <v>30</v>
      </c>
      <c r="GX26" s="14">
        <v>5482.3</v>
      </c>
      <c r="GY26" s="13" t="s">
        <v>30</v>
      </c>
      <c r="GZ26" s="14">
        <v>5267.8</v>
      </c>
      <c r="HA26" s="13" t="s">
        <v>30</v>
      </c>
      <c r="HB26" s="14">
        <v>4997.3999999999996</v>
      </c>
      <c r="HC26" s="13" t="s">
        <v>30</v>
      </c>
      <c r="HD26" s="14">
        <v>5295.3</v>
      </c>
      <c r="HE26" s="13" t="s">
        <v>30</v>
      </c>
      <c r="HF26" s="14">
        <v>5816.7</v>
      </c>
      <c r="HG26" s="13" t="s">
        <v>30</v>
      </c>
      <c r="HH26" s="14">
        <v>5682.8</v>
      </c>
      <c r="HI26" s="13" t="s">
        <v>30</v>
      </c>
      <c r="HJ26" s="14">
        <v>5229.8999999999996</v>
      </c>
      <c r="HK26" s="13" t="s">
        <v>30</v>
      </c>
      <c r="HL26" s="14">
        <v>5715.3</v>
      </c>
      <c r="HM26" s="13" t="s">
        <v>30</v>
      </c>
      <c r="HN26" s="14">
        <v>6278.5</v>
      </c>
      <c r="HO26" s="13" t="s">
        <v>30</v>
      </c>
      <c r="HP26" s="15">
        <v>6033</v>
      </c>
      <c r="HQ26" s="13" t="s">
        <v>30</v>
      </c>
      <c r="HR26" s="14">
        <v>5797.7</v>
      </c>
      <c r="HS26" s="13" t="s">
        <v>30</v>
      </c>
      <c r="HT26" s="14">
        <v>6249.4</v>
      </c>
      <c r="HU26" s="13" t="s">
        <v>30</v>
      </c>
      <c r="HV26" s="14">
        <v>6911.5</v>
      </c>
      <c r="HW26" s="13" t="s">
        <v>30</v>
      </c>
      <c r="HX26" s="14">
        <v>6752.2</v>
      </c>
      <c r="HY26" s="13" t="s">
        <v>30</v>
      </c>
      <c r="HZ26" s="14">
        <v>6206.5</v>
      </c>
      <c r="IA26" s="13" t="s">
        <v>30</v>
      </c>
      <c r="IB26" s="14">
        <v>6710.8</v>
      </c>
      <c r="IC26" s="13" t="s">
        <v>30</v>
      </c>
      <c r="ID26" s="14">
        <v>7247.7</v>
      </c>
      <c r="IE26" s="13" t="s">
        <v>30</v>
      </c>
      <c r="IF26" s="14">
        <v>7217.4</v>
      </c>
      <c r="IG26" s="13" t="s">
        <v>30</v>
      </c>
      <c r="IH26" s="14">
        <v>6548.3</v>
      </c>
      <c r="II26" s="13" t="s">
        <v>30</v>
      </c>
      <c r="IJ26" s="14">
        <v>7186.6</v>
      </c>
      <c r="IK26" s="13" t="s">
        <v>30</v>
      </c>
      <c r="IL26" s="14">
        <v>7903.2</v>
      </c>
      <c r="IM26" s="13" t="s">
        <v>30</v>
      </c>
      <c r="IN26" s="14">
        <v>7861.4</v>
      </c>
      <c r="IO26" s="13" t="s">
        <v>30</v>
      </c>
      <c r="IP26" s="14">
        <v>7043.5</v>
      </c>
      <c r="IQ26" s="13" t="s">
        <v>30</v>
      </c>
      <c r="IR26" s="14">
        <v>7782.7</v>
      </c>
      <c r="IS26" s="13" t="s">
        <v>30</v>
      </c>
      <c r="IT26" s="14">
        <v>8443.9</v>
      </c>
      <c r="IU26" s="13" t="s">
        <v>30</v>
      </c>
      <c r="IV26" s="15">
        <v>8411</v>
      </c>
      <c r="IW26" s="13" t="s">
        <v>30</v>
      </c>
      <c r="IX26" s="15">
        <v>7733</v>
      </c>
      <c r="IY26" s="13" t="s">
        <v>30</v>
      </c>
      <c r="IZ26" s="14">
        <v>8683.2000000000007</v>
      </c>
      <c r="JA26" s="13" t="s">
        <v>30</v>
      </c>
      <c r="JB26" s="14">
        <v>9483.7000000000007</v>
      </c>
      <c r="JC26" s="13" t="s">
        <v>30</v>
      </c>
      <c r="JD26" s="14">
        <v>9290.7000000000007</v>
      </c>
      <c r="JE26" s="13" t="s">
        <v>30</v>
      </c>
      <c r="JF26" s="14">
        <v>8280.2000000000007</v>
      </c>
      <c r="JG26" s="13" t="s">
        <v>30</v>
      </c>
      <c r="JH26" s="14">
        <v>9149.2999999999993</v>
      </c>
      <c r="JI26" s="13" t="s">
        <v>30</v>
      </c>
      <c r="JJ26" s="14">
        <v>9635.7999999999993</v>
      </c>
      <c r="JK26" s="13" t="s">
        <v>30</v>
      </c>
      <c r="JL26" s="14">
        <v>9040.2000000000007</v>
      </c>
      <c r="JM26" s="13" t="s">
        <v>30</v>
      </c>
      <c r="JN26" s="14">
        <v>7124.3</v>
      </c>
      <c r="JO26" s="13" t="s">
        <v>30</v>
      </c>
      <c r="JP26" s="14">
        <v>7711.2</v>
      </c>
      <c r="JQ26" s="13" t="s">
        <v>30</v>
      </c>
      <c r="JR26" s="14">
        <v>8253.2000000000007</v>
      </c>
      <c r="JS26" s="13" t="s">
        <v>30</v>
      </c>
      <c r="JT26" s="14">
        <v>7659.3</v>
      </c>
      <c r="JU26" s="13" t="s">
        <v>30</v>
      </c>
      <c r="JV26" s="14">
        <v>6969.1</v>
      </c>
      <c r="JW26" s="13" t="s">
        <v>30</v>
      </c>
      <c r="JX26" s="14">
        <v>7715.9</v>
      </c>
      <c r="JY26" s="13" t="s">
        <v>30</v>
      </c>
      <c r="JZ26" s="14">
        <v>8234.6</v>
      </c>
      <c r="KA26" s="13" t="s">
        <v>30</v>
      </c>
      <c r="KB26" s="14">
        <v>7959.6</v>
      </c>
      <c r="KC26" s="13" t="s">
        <v>30</v>
      </c>
      <c r="KD26" s="14">
        <v>7411.5</v>
      </c>
      <c r="KE26" s="13" t="s">
        <v>30</v>
      </c>
      <c r="KF26" s="14">
        <v>8145.2</v>
      </c>
      <c r="KG26" s="13" t="s">
        <v>30</v>
      </c>
      <c r="KH26" s="14">
        <v>8843.7000000000007</v>
      </c>
      <c r="KI26" s="13" t="s">
        <v>30</v>
      </c>
      <c r="KJ26" s="14">
        <v>8431.6</v>
      </c>
      <c r="KK26" s="13" t="s">
        <v>30</v>
      </c>
      <c r="KL26" s="14">
        <v>7726.2</v>
      </c>
      <c r="KM26" s="13" t="s">
        <v>30</v>
      </c>
      <c r="KN26" s="14">
        <v>8358.2999999999993</v>
      </c>
      <c r="KO26" s="13" t="s">
        <v>30</v>
      </c>
      <c r="KP26" s="14">
        <v>9346.4</v>
      </c>
      <c r="KQ26" s="13" t="s">
        <v>30</v>
      </c>
      <c r="KR26" s="14">
        <v>8840.1</v>
      </c>
      <c r="KS26" s="13" t="s">
        <v>30</v>
      </c>
      <c r="KT26" s="15">
        <v>8030</v>
      </c>
      <c r="KU26" s="13" t="s">
        <v>30</v>
      </c>
      <c r="KV26" s="14">
        <v>8736.2000000000007</v>
      </c>
      <c r="KW26" s="13" t="s">
        <v>30</v>
      </c>
      <c r="KX26" s="14">
        <v>9682.7000000000007</v>
      </c>
      <c r="KY26" s="13" t="s">
        <v>30</v>
      </c>
      <c r="KZ26" s="14">
        <v>9209.1</v>
      </c>
      <c r="LA26" s="13" t="s">
        <v>30</v>
      </c>
      <c r="LB26" s="14">
        <v>8423.7000000000007</v>
      </c>
      <c r="LC26" s="13" t="s">
        <v>30</v>
      </c>
      <c r="LD26" s="14">
        <v>9121.9</v>
      </c>
      <c r="LE26" s="13" t="s">
        <v>30</v>
      </c>
      <c r="LF26" s="14">
        <v>10001.700000000001</v>
      </c>
      <c r="LG26" s="13" t="s">
        <v>30</v>
      </c>
      <c r="LH26" s="14">
        <v>9455.7000000000007</v>
      </c>
      <c r="LI26" s="13" t="s">
        <v>30</v>
      </c>
      <c r="LJ26" s="14">
        <v>8612.9</v>
      </c>
      <c r="LK26" s="13" t="s">
        <v>30</v>
      </c>
      <c r="LL26" s="15">
        <v>9354</v>
      </c>
      <c r="LM26" s="13" t="s">
        <v>30</v>
      </c>
      <c r="LN26" s="14">
        <v>10306.9</v>
      </c>
      <c r="LO26" s="13" t="s">
        <v>30</v>
      </c>
      <c r="LP26" s="14">
        <v>9777.6</v>
      </c>
      <c r="LQ26" s="13" t="s">
        <v>30</v>
      </c>
      <c r="LR26" s="14">
        <v>8821.2000000000007</v>
      </c>
      <c r="LS26" s="13" t="s">
        <v>30</v>
      </c>
      <c r="LT26" s="14">
        <v>9532.2000000000007</v>
      </c>
      <c r="LU26" s="13" t="s">
        <v>30</v>
      </c>
      <c r="LV26" s="14">
        <v>10538.5</v>
      </c>
      <c r="LW26" s="13" t="s">
        <v>30</v>
      </c>
      <c r="LX26" s="14">
        <v>10176.1</v>
      </c>
      <c r="LY26" s="13" t="s">
        <v>30</v>
      </c>
      <c r="LZ26" s="14">
        <v>9268.4</v>
      </c>
      <c r="MA26" s="13" t="s">
        <v>30</v>
      </c>
      <c r="MB26" s="14">
        <v>9995.6</v>
      </c>
      <c r="MC26" s="13" t="s">
        <v>30</v>
      </c>
      <c r="MD26" s="14">
        <v>10979.9</v>
      </c>
      <c r="ME26" s="13" t="s">
        <v>30</v>
      </c>
      <c r="MF26" s="14">
        <v>10626.1</v>
      </c>
      <c r="MG26" s="13" t="s">
        <v>30</v>
      </c>
      <c r="MH26" s="14">
        <v>9718.7000000000007</v>
      </c>
      <c r="MI26" s="13" t="s">
        <v>30</v>
      </c>
      <c r="MJ26" s="14">
        <v>10536.3</v>
      </c>
      <c r="MK26" s="13" t="s">
        <v>30</v>
      </c>
      <c r="ML26" s="14">
        <v>11464.2</v>
      </c>
      <c r="MM26" s="13" t="s">
        <v>30</v>
      </c>
      <c r="MN26" s="14">
        <v>11160.8</v>
      </c>
      <c r="MO26" s="13" t="s">
        <v>30</v>
      </c>
      <c r="MP26" s="14">
        <v>10207.5</v>
      </c>
      <c r="MQ26" s="13" t="s">
        <v>30</v>
      </c>
      <c r="MR26" s="14">
        <v>11024.6</v>
      </c>
      <c r="MS26" s="13" t="s">
        <v>30</v>
      </c>
      <c r="MT26" s="14">
        <v>11990.6</v>
      </c>
      <c r="MU26" s="13" t="s">
        <v>30</v>
      </c>
      <c r="MV26" s="14">
        <v>11663.1</v>
      </c>
      <c r="MW26" s="13" t="s">
        <v>30</v>
      </c>
      <c r="MX26" s="14">
        <v>10517.2</v>
      </c>
      <c r="MY26" s="13" t="s">
        <v>30</v>
      </c>
      <c r="MZ26" s="14">
        <v>10544.3</v>
      </c>
      <c r="NA26" s="13" t="s">
        <v>30</v>
      </c>
      <c r="NB26" s="14">
        <v>12169.5</v>
      </c>
      <c r="NC26" s="13" t="s">
        <v>30</v>
      </c>
      <c r="ND26" s="15">
        <v>11674</v>
      </c>
      <c r="NE26" s="13" t="s">
        <v>30</v>
      </c>
      <c r="NF26" s="14">
        <v>10841.4</v>
      </c>
      <c r="NG26" s="13" t="s">
        <v>30</v>
      </c>
      <c r="NH26" s="14">
        <v>11540.4</v>
      </c>
      <c r="NI26" s="13" t="s">
        <v>30</v>
      </c>
      <c r="NJ26" s="14">
        <v>12926.8</v>
      </c>
      <c r="NK26" s="13" t="s">
        <v>30</v>
      </c>
      <c r="NL26" s="15">
        <v>12468</v>
      </c>
      <c r="NM26" s="13" t="s">
        <v>30</v>
      </c>
      <c r="NN26" s="15">
        <v>11448</v>
      </c>
      <c r="NO26" s="13" t="s">
        <v>30</v>
      </c>
      <c r="NP26" s="14">
        <v>11836.7</v>
      </c>
      <c r="NQ26" s="13" t="s">
        <v>30</v>
      </c>
      <c r="NR26" s="14">
        <v>13173.3</v>
      </c>
      <c r="NS26" s="13" t="s">
        <v>30</v>
      </c>
      <c r="NT26" s="14">
        <v>12496.4</v>
      </c>
      <c r="NU26" s="13" t="s">
        <v>30</v>
      </c>
      <c r="NV26" s="14">
        <v>11284.3</v>
      </c>
      <c r="NW26" s="13" t="s">
        <v>30</v>
      </c>
      <c r="NX26" s="15">
        <v>12047</v>
      </c>
      <c r="NY26" s="13" t="s">
        <v>30</v>
      </c>
      <c r="NZ26" s="14">
        <v>13335.3</v>
      </c>
      <c r="OA26" s="13" t="s">
        <v>30</v>
      </c>
      <c r="OB26" s="14">
        <v>12649.8</v>
      </c>
      <c r="OC26" s="13" t="s">
        <v>30</v>
      </c>
      <c r="OD26" s="14">
        <v>11648.2</v>
      </c>
      <c r="OE26" s="13" t="s">
        <v>30</v>
      </c>
      <c r="OF26" s="14">
        <v>12281.8</v>
      </c>
      <c r="OG26" s="13" t="s">
        <v>30</v>
      </c>
      <c r="OH26" s="14">
        <v>13683.7</v>
      </c>
      <c r="OI26" s="13" t="s">
        <v>30</v>
      </c>
      <c r="OJ26" s="14">
        <v>13197.1</v>
      </c>
      <c r="OK26" s="13" t="s">
        <v>30</v>
      </c>
      <c r="OL26" s="14">
        <v>12027.6</v>
      </c>
      <c r="OM26" s="13" t="s">
        <v>30</v>
      </c>
      <c r="ON26" s="15">
        <v>12680</v>
      </c>
      <c r="OO26" s="13" t="s">
        <v>30</v>
      </c>
      <c r="OP26" s="13" t="s">
        <v>235</v>
      </c>
      <c r="OQ26" s="13" t="s">
        <v>30</v>
      </c>
    </row>
    <row r="27" spans="1:407" x14ac:dyDescent="0.3">
      <c r="A27" s="12" t="s">
        <v>252</v>
      </c>
      <c r="B27" s="16" t="s">
        <v>235</v>
      </c>
      <c r="C27" s="16" t="s">
        <v>30</v>
      </c>
      <c r="D27" s="16" t="s">
        <v>235</v>
      </c>
      <c r="E27" s="16" t="s">
        <v>30</v>
      </c>
      <c r="F27" s="16" t="s">
        <v>235</v>
      </c>
      <c r="G27" s="16" t="s">
        <v>30</v>
      </c>
      <c r="H27" s="16" t="s">
        <v>235</v>
      </c>
      <c r="I27" s="16" t="s">
        <v>30</v>
      </c>
      <c r="J27" s="16" t="s">
        <v>235</v>
      </c>
      <c r="K27" s="16" t="s">
        <v>30</v>
      </c>
      <c r="L27" s="16" t="s">
        <v>235</v>
      </c>
      <c r="M27" s="16" t="s">
        <v>30</v>
      </c>
      <c r="N27" s="16" t="s">
        <v>235</v>
      </c>
      <c r="O27" s="16" t="s">
        <v>30</v>
      </c>
      <c r="P27" s="16" t="s">
        <v>235</v>
      </c>
      <c r="Q27" s="16" t="s">
        <v>30</v>
      </c>
      <c r="R27" s="16" t="s">
        <v>235</v>
      </c>
      <c r="S27" s="16" t="s">
        <v>30</v>
      </c>
      <c r="T27" s="16" t="s">
        <v>235</v>
      </c>
      <c r="U27" s="16" t="s">
        <v>30</v>
      </c>
      <c r="V27" s="16" t="s">
        <v>235</v>
      </c>
      <c r="W27" s="16" t="s">
        <v>30</v>
      </c>
      <c r="X27" s="16" t="s">
        <v>235</v>
      </c>
      <c r="Y27" s="16" t="s">
        <v>30</v>
      </c>
      <c r="Z27" s="16" t="s">
        <v>235</v>
      </c>
      <c r="AA27" s="16" t="s">
        <v>30</v>
      </c>
      <c r="AB27" s="16" t="s">
        <v>235</v>
      </c>
      <c r="AC27" s="16" t="s">
        <v>30</v>
      </c>
      <c r="AD27" s="16" t="s">
        <v>235</v>
      </c>
      <c r="AE27" s="16" t="s">
        <v>30</v>
      </c>
      <c r="AF27" s="16" t="s">
        <v>235</v>
      </c>
      <c r="AG27" s="16" t="s">
        <v>30</v>
      </c>
      <c r="AH27" s="16" t="s">
        <v>235</v>
      </c>
      <c r="AI27" s="16" t="s">
        <v>30</v>
      </c>
      <c r="AJ27" s="16" t="s">
        <v>235</v>
      </c>
      <c r="AK27" s="16" t="s">
        <v>30</v>
      </c>
      <c r="AL27" s="16" t="s">
        <v>235</v>
      </c>
      <c r="AM27" s="16" t="s">
        <v>30</v>
      </c>
      <c r="AN27" s="16" t="s">
        <v>235</v>
      </c>
      <c r="AO27" s="16" t="s">
        <v>30</v>
      </c>
      <c r="AP27" s="16" t="s">
        <v>235</v>
      </c>
      <c r="AQ27" s="16" t="s">
        <v>30</v>
      </c>
      <c r="AR27" s="16" t="s">
        <v>235</v>
      </c>
      <c r="AS27" s="16" t="s">
        <v>30</v>
      </c>
      <c r="AT27" s="16" t="s">
        <v>235</v>
      </c>
      <c r="AU27" s="16" t="s">
        <v>30</v>
      </c>
      <c r="AV27" s="16" t="s">
        <v>235</v>
      </c>
      <c r="AW27" s="16" t="s">
        <v>30</v>
      </c>
      <c r="AX27" s="16" t="s">
        <v>235</v>
      </c>
      <c r="AY27" s="16" t="s">
        <v>30</v>
      </c>
      <c r="AZ27" s="16" t="s">
        <v>235</v>
      </c>
      <c r="BA27" s="16" t="s">
        <v>30</v>
      </c>
      <c r="BB27" s="16" t="s">
        <v>235</v>
      </c>
      <c r="BC27" s="16" t="s">
        <v>30</v>
      </c>
      <c r="BD27" s="16" t="s">
        <v>235</v>
      </c>
      <c r="BE27" s="16" t="s">
        <v>30</v>
      </c>
      <c r="BF27" s="16" t="s">
        <v>235</v>
      </c>
      <c r="BG27" s="16" t="s">
        <v>30</v>
      </c>
      <c r="BH27" s="16" t="s">
        <v>235</v>
      </c>
      <c r="BI27" s="16" t="s">
        <v>30</v>
      </c>
      <c r="BJ27" s="16" t="s">
        <v>235</v>
      </c>
      <c r="BK27" s="16" t="s">
        <v>30</v>
      </c>
      <c r="BL27" s="16" t="s">
        <v>235</v>
      </c>
      <c r="BM27" s="16" t="s">
        <v>30</v>
      </c>
      <c r="BN27" s="16" t="s">
        <v>235</v>
      </c>
      <c r="BO27" s="16" t="s">
        <v>30</v>
      </c>
      <c r="BP27" s="16" t="s">
        <v>235</v>
      </c>
      <c r="BQ27" s="16" t="s">
        <v>30</v>
      </c>
      <c r="BR27" s="16" t="s">
        <v>235</v>
      </c>
      <c r="BS27" s="16" t="s">
        <v>30</v>
      </c>
      <c r="BT27" s="16" t="s">
        <v>235</v>
      </c>
      <c r="BU27" s="16" t="s">
        <v>30</v>
      </c>
      <c r="BV27" s="16" t="s">
        <v>235</v>
      </c>
      <c r="BW27" s="16" t="s">
        <v>30</v>
      </c>
      <c r="BX27" s="16" t="s">
        <v>235</v>
      </c>
      <c r="BY27" s="16" t="s">
        <v>30</v>
      </c>
      <c r="BZ27" s="16" t="s">
        <v>235</v>
      </c>
      <c r="CA27" s="16" t="s">
        <v>30</v>
      </c>
      <c r="CB27" s="16" t="s">
        <v>235</v>
      </c>
      <c r="CC27" s="16" t="s">
        <v>30</v>
      </c>
      <c r="CD27" s="16" t="s">
        <v>235</v>
      </c>
      <c r="CE27" s="16" t="s">
        <v>30</v>
      </c>
      <c r="CF27" s="16" t="s">
        <v>235</v>
      </c>
      <c r="CG27" s="16" t="s">
        <v>30</v>
      </c>
      <c r="CH27" s="16" t="s">
        <v>235</v>
      </c>
      <c r="CI27" s="16" t="s">
        <v>30</v>
      </c>
      <c r="CJ27" s="16" t="s">
        <v>235</v>
      </c>
      <c r="CK27" s="16" t="s">
        <v>30</v>
      </c>
      <c r="CL27" s="16" t="s">
        <v>235</v>
      </c>
      <c r="CM27" s="16" t="s">
        <v>30</v>
      </c>
      <c r="CN27" s="16" t="s">
        <v>235</v>
      </c>
      <c r="CO27" s="16" t="s">
        <v>30</v>
      </c>
      <c r="CP27" s="16" t="s">
        <v>235</v>
      </c>
      <c r="CQ27" s="16" t="s">
        <v>30</v>
      </c>
      <c r="CR27" s="16" t="s">
        <v>235</v>
      </c>
      <c r="CS27" s="16" t="s">
        <v>30</v>
      </c>
      <c r="CT27" s="16" t="s">
        <v>235</v>
      </c>
      <c r="CU27" s="16" t="s">
        <v>30</v>
      </c>
      <c r="CV27" s="16" t="s">
        <v>235</v>
      </c>
      <c r="CW27" s="16" t="s">
        <v>30</v>
      </c>
      <c r="CX27" s="16" t="s">
        <v>235</v>
      </c>
      <c r="CY27" s="16" t="s">
        <v>30</v>
      </c>
      <c r="CZ27" s="16" t="s">
        <v>235</v>
      </c>
      <c r="DA27" s="16" t="s">
        <v>30</v>
      </c>
      <c r="DB27" s="16" t="s">
        <v>235</v>
      </c>
      <c r="DC27" s="16" t="s">
        <v>30</v>
      </c>
      <c r="DD27" s="16" t="s">
        <v>235</v>
      </c>
      <c r="DE27" s="16" t="s">
        <v>30</v>
      </c>
      <c r="DF27" s="16" t="s">
        <v>235</v>
      </c>
      <c r="DG27" s="16" t="s">
        <v>30</v>
      </c>
      <c r="DH27" s="16" t="s">
        <v>235</v>
      </c>
      <c r="DI27" s="16" t="s">
        <v>30</v>
      </c>
      <c r="DJ27" s="16" t="s">
        <v>235</v>
      </c>
      <c r="DK27" s="16" t="s">
        <v>30</v>
      </c>
      <c r="DL27" s="16" t="s">
        <v>235</v>
      </c>
      <c r="DM27" s="16" t="s">
        <v>30</v>
      </c>
      <c r="DN27" s="16" t="s">
        <v>235</v>
      </c>
      <c r="DO27" s="16" t="s">
        <v>30</v>
      </c>
      <c r="DP27" s="16" t="s">
        <v>235</v>
      </c>
      <c r="DQ27" s="16" t="s">
        <v>30</v>
      </c>
      <c r="DR27" s="16" t="s">
        <v>235</v>
      </c>
      <c r="DS27" s="16" t="s">
        <v>30</v>
      </c>
      <c r="DT27" s="16" t="s">
        <v>235</v>
      </c>
      <c r="DU27" s="16" t="s">
        <v>30</v>
      </c>
      <c r="DV27" s="16" t="s">
        <v>235</v>
      </c>
      <c r="DW27" s="16" t="s">
        <v>30</v>
      </c>
      <c r="DX27" s="16" t="s">
        <v>235</v>
      </c>
      <c r="DY27" s="16" t="s">
        <v>30</v>
      </c>
      <c r="DZ27" s="16" t="s">
        <v>235</v>
      </c>
      <c r="EA27" s="16" t="s">
        <v>30</v>
      </c>
      <c r="EB27" s="16" t="s">
        <v>235</v>
      </c>
      <c r="EC27" s="16" t="s">
        <v>30</v>
      </c>
      <c r="ED27" s="16" t="s">
        <v>235</v>
      </c>
      <c r="EE27" s="16" t="s">
        <v>30</v>
      </c>
      <c r="EF27" s="16" t="s">
        <v>235</v>
      </c>
      <c r="EG27" s="16" t="s">
        <v>30</v>
      </c>
      <c r="EH27" s="16" t="s">
        <v>235</v>
      </c>
      <c r="EI27" s="16" t="s">
        <v>30</v>
      </c>
      <c r="EJ27" s="16" t="s">
        <v>235</v>
      </c>
      <c r="EK27" s="16" t="s">
        <v>30</v>
      </c>
      <c r="EL27" s="16" t="s">
        <v>235</v>
      </c>
      <c r="EM27" s="16" t="s">
        <v>30</v>
      </c>
      <c r="EN27" s="16" t="s">
        <v>235</v>
      </c>
      <c r="EO27" s="16" t="s">
        <v>30</v>
      </c>
      <c r="EP27" s="16" t="s">
        <v>235</v>
      </c>
      <c r="EQ27" s="16" t="s">
        <v>30</v>
      </c>
      <c r="ER27" s="16" t="s">
        <v>235</v>
      </c>
      <c r="ES27" s="16" t="s">
        <v>30</v>
      </c>
      <c r="ET27" s="16" t="s">
        <v>235</v>
      </c>
      <c r="EU27" s="16" t="s">
        <v>30</v>
      </c>
      <c r="EV27" s="16" t="s">
        <v>235</v>
      </c>
      <c r="EW27" s="16" t="s">
        <v>30</v>
      </c>
      <c r="EX27" s="16" t="s">
        <v>235</v>
      </c>
      <c r="EY27" s="16" t="s">
        <v>30</v>
      </c>
      <c r="EZ27" s="16" t="s">
        <v>235</v>
      </c>
      <c r="FA27" s="16" t="s">
        <v>30</v>
      </c>
      <c r="FB27" s="16" t="s">
        <v>235</v>
      </c>
      <c r="FC27" s="16" t="s">
        <v>30</v>
      </c>
      <c r="FD27" s="16" t="s">
        <v>235</v>
      </c>
      <c r="FE27" s="16" t="s">
        <v>30</v>
      </c>
      <c r="FF27" s="17">
        <v>6873.8</v>
      </c>
      <c r="FG27" s="16" t="s">
        <v>30</v>
      </c>
      <c r="FH27" s="18">
        <v>7063</v>
      </c>
      <c r="FI27" s="16" t="s">
        <v>30</v>
      </c>
      <c r="FJ27" s="17">
        <v>6852.4</v>
      </c>
      <c r="FK27" s="16" t="s">
        <v>30</v>
      </c>
      <c r="FL27" s="17">
        <v>6919.9</v>
      </c>
      <c r="FM27" s="16" t="s">
        <v>30</v>
      </c>
      <c r="FN27" s="17">
        <v>6845.8</v>
      </c>
      <c r="FO27" s="16" t="s">
        <v>30</v>
      </c>
      <c r="FP27" s="17">
        <v>7128.3</v>
      </c>
      <c r="FQ27" s="16" t="s">
        <v>30</v>
      </c>
      <c r="FR27" s="17">
        <v>6836.2</v>
      </c>
      <c r="FS27" s="16" t="s">
        <v>30</v>
      </c>
      <c r="FT27" s="17">
        <v>7199.3</v>
      </c>
      <c r="FU27" s="16" t="s">
        <v>30</v>
      </c>
      <c r="FV27" s="17">
        <v>6985.7</v>
      </c>
      <c r="FW27" s="16" t="s">
        <v>30</v>
      </c>
      <c r="FX27" s="17">
        <v>7455.8</v>
      </c>
      <c r="FY27" s="16" t="s">
        <v>30</v>
      </c>
      <c r="FZ27" s="17">
        <v>7332.5</v>
      </c>
      <c r="GA27" s="16" t="s">
        <v>30</v>
      </c>
      <c r="GB27" s="17">
        <v>7543.6</v>
      </c>
      <c r="GC27" s="16" t="s">
        <v>30</v>
      </c>
      <c r="GD27" s="17">
        <v>7571.2</v>
      </c>
      <c r="GE27" s="16" t="s">
        <v>30</v>
      </c>
      <c r="GF27" s="18">
        <v>7914</v>
      </c>
      <c r="GG27" s="16" t="s">
        <v>30</v>
      </c>
      <c r="GH27" s="17">
        <v>7779.7</v>
      </c>
      <c r="GI27" s="16" t="s">
        <v>30</v>
      </c>
      <c r="GJ27" s="17">
        <v>7987.1</v>
      </c>
      <c r="GK27" s="16" t="s">
        <v>30</v>
      </c>
      <c r="GL27" s="17">
        <v>8175.9</v>
      </c>
      <c r="GM27" s="16" t="s">
        <v>30</v>
      </c>
      <c r="GN27" s="17">
        <v>8481.9</v>
      </c>
      <c r="GO27" s="16" t="s">
        <v>30</v>
      </c>
      <c r="GP27" s="17">
        <v>8413.9</v>
      </c>
      <c r="GQ27" s="16" t="s">
        <v>30</v>
      </c>
      <c r="GR27" s="17">
        <v>8622.7000000000007</v>
      </c>
      <c r="GS27" s="16" t="s">
        <v>30</v>
      </c>
      <c r="GT27" s="17">
        <v>8829.2000000000007</v>
      </c>
      <c r="GU27" s="16" t="s">
        <v>30</v>
      </c>
      <c r="GV27" s="17">
        <v>8945.6</v>
      </c>
      <c r="GW27" s="16" t="s">
        <v>30</v>
      </c>
      <c r="GX27" s="17">
        <v>8810.1</v>
      </c>
      <c r="GY27" s="16" t="s">
        <v>30</v>
      </c>
      <c r="GZ27" s="17">
        <v>9179.6</v>
      </c>
      <c r="HA27" s="16" t="s">
        <v>30</v>
      </c>
      <c r="HB27" s="17">
        <v>9163.7000000000007</v>
      </c>
      <c r="HC27" s="16" t="s">
        <v>30</v>
      </c>
      <c r="HD27" s="17">
        <v>9222.4</v>
      </c>
      <c r="HE27" s="16" t="s">
        <v>30</v>
      </c>
      <c r="HF27" s="17">
        <v>9067.1</v>
      </c>
      <c r="HG27" s="16" t="s">
        <v>30</v>
      </c>
      <c r="HH27" s="17">
        <v>9611.6</v>
      </c>
      <c r="HI27" s="16" t="s">
        <v>30</v>
      </c>
      <c r="HJ27" s="17">
        <v>9334.1</v>
      </c>
      <c r="HK27" s="16" t="s">
        <v>30</v>
      </c>
      <c r="HL27" s="17">
        <v>9773.5</v>
      </c>
      <c r="HM27" s="16" t="s">
        <v>30</v>
      </c>
      <c r="HN27" s="17">
        <v>9382.9</v>
      </c>
      <c r="HO27" s="16" t="s">
        <v>30</v>
      </c>
      <c r="HP27" s="17">
        <v>9720.7000000000007</v>
      </c>
      <c r="HQ27" s="16" t="s">
        <v>30</v>
      </c>
      <c r="HR27" s="17">
        <v>9525.9</v>
      </c>
      <c r="HS27" s="16" t="s">
        <v>30</v>
      </c>
      <c r="HT27" s="18">
        <v>9915</v>
      </c>
      <c r="HU27" s="16" t="s">
        <v>30</v>
      </c>
      <c r="HV27" s="17">
        <v>9576.9</v>
      </c>
      <c r="HW27" s="16" t="s">
        <v>30</v>
      </c>
      <c r="HX27" s="17">
        <v>10154.6</v>
      </c>
      <c r="HY27" s="16" t="s">
        <v>30</v>
      </c>
      <c r="HZ27" s="18">
        <v>10032</v>
      </c>
      <c r="IA27" s="16" t="s">
        <v>30</v>
      </c>
      <c r="IB27" s="17">
        <v>10287.4</v>
      </c>
      <c r="IC27" s="16" t="s">
        <v>30</v>
      </c>
      <c r="ID27" s="17">
        <v>10002.4</v>
      </c>
      <c r="IE27" s="16" t="s">
        <v>30</v>
      </c>
      <c r="IF27" s="17">
        <v>10290.799999999999</v>
      </c>
      <c r="IG27" s="16" t="s">
        <v>30</v>
      </c>
      <c r="IH27" s="17">
        <v>9873.9</v>
      </c>
      <c r="II27" s="16" t="s">
        <v>30</v>
      </c>
      <c r="IJ27" s="17">
        <v>10285.6</v>
      </c>
      <c r="IK27" s="16" t="s">
        <v>30</v>
      </c>
      <c r="IL27" s="18">
        <v>10177</v>
      </c>
      <c r="IM27" s="16" t="s">
        <v>30</v>
      </c>
      <c r="IN27" s="17">
        <v>11153.1</v>
      </c>
      <c r="IO27" s="16" t="s">
        <v>30</v>
      </c>
      <c r="IP27" s="17">
        <v>10917.3</v>
      </c>
      <c r="IQ27" s="16" t="s">
        <v>30</v>
      </c>
      <c r="IR27" s="17">
        <v>11271.3</v>
      </c>
      <c r="IS27" s="16" t="s">
        <v>30</v>
      </c>
      <c r="IT27" s="17">
        <v>10872.2</v>
      </c>
      <c r="IU27" s="16" t="s">
        <v>30</v>
      </c>
      <c r="IV27" s="17">
        <v>11258.9</v>
      </c>
      <c r="IW27" s="16" t="s">
        <v>30</v>
      </c>
      <c r="IX27" s="17">
        <v>11781.5</v>
      </c>
      <c r="IY27" s="16" t="s">
        <v>30</v>
      </c>
      <c r="IZ27" s="17">
        <v>12251.6</v>
      </c>
      <c r="JA27" s="16" t="s">
        <v>30</v>
      </c>
      <c r="JB27" s="18">
        <v>11719</v>
      </c>
      <c r="JC27" s="16" t="s">
        <v>30</v>
      </c>
      <c r="JD27" s="17">
        <v>12173.6</v>
      </c>
      <c r="JE27" s="16" t="s">
        <v>30</v>
      </c>
      <c r="JF27" s="17">
        <v>12049.3</v>
      </c>
      <c r="JG27" s="16" t="s">
        <v>30</v>
      </c>
      <c r="JH27" s="17">
        <v>12365.9</v>
      </c>
      <c r="JI27" s="16" t="s">
        <v>30</v>
      </c>
      <c r="JJ27" s="17">
        <v>11726.1</v>
      </c>
      <c r="JK27" s="16" t="s">
        <v>30</v>
      </c>
      <c r="JL27" s="17">
        <v>11566.4</v>
      </c>
      <c r="JM27" s="16" t="s">
        <v>30</v>
      </c>
      <c r="JN27" s="17">
        <v>11223.3</v>
      </c>
      <c r="JO27" s="16" t="s">
        <v>30</v>
      </c>
      <c r="JP27" s="17">
        <v>11627.5</v>
      </c>
      <c r="JQ27" s="16" t="s">
        <v>30</v>
      </c>
      <c r="JR27" s="18">
        <v>11410</v>
      </c>
      <c r="JS27" s="16" t="s">
        <v>30</v>
      </c>
      <c r="JT27" s="17">
        <v>11871.1</v>
      </c>
      <c r="JU27" s="16" t="s">
        <v>30</v>
      </c>
      <c r="JV27" s="17">
        <v>11907.3</v>
      </c>
      <c r="JW27" s="16" t="s">
        <v>30</v>
      </c>
      <c r="JX27" s="17">
        <v>12172.8</v>
      </c>
      <c r="JY27" s="16" t="s">
        <v>30</v>
      </c>
      <c r="JZ27" s="17">
        <v>11633.7</v>
      </c>
      <c r="KA27" s="16" t="s">
        <v>30</v>
      </c>
      <c r="KB27" s="17">
        <v>12102.6</v>
      </c>
      <c r="KC27" s="16" t="s">
        <v>30</v>
      </c>
      <c r="KD27" s="17">
        <v>12030.7</v>
      </c>
      <c r="KE27" s="16" t="s">
        <v>30</v>
      </c>
      <c r="KF27" s="17">
        <v>12081.9</v>
      </c>
      <c r="KG27" s="16" t="s">
        <v>30</v>
      </c>
      <c r="KH27" s="17">
        <v>11842.4</v>
      </c>
      <c r="KI27" s="16" t="s">
        <v>30</v>
      </c>
      <c r="KJ27" s="17">
        <v>12039.5</v>
      </c>
      <c r="KK27" s="16" t="s">
        <v>30</v>
      </c>
      <c r="KL27" s="17">
        <v>12042.9</v>
      </c>
      <c r="KM27" s="16" t="s">
        <v>30</v>
      </c>
      <c r="KN27" s="18">
        <v>12163</v>
      </c>
      <c r="KO27" s="16" t="s">
        <v>30</v>
      </c>
      <c r="KP27" s="17">
        <v>11911.5</v>
      </c>
      <c r="KQ27" s="16" t="s">
        <v>30</v>
      </c>
      <c r="KR27" s="17">
        <v>12537.7</v>
      </c>
      <c r="KS27" s="16" t="s">
        <v>30</v>
      </c>
      <c r="KT27" s="17">
        <v>12243.5</v>
      </c>
      <c r="KU27" s="16" t="s">
        <v>30</v>
      </c>
      <c r="KV27" s="17">
        <v>12700.7</v>
      </c>
      <c r="KW27" s="16" t="s">
        <v>30</v>
      </c>
      <c r="KX27" s="17">
        <v>12430.1</v>
      </c>
      <c r="KY27" s="16" t="s">
        <v>30</v>
      </c>
      <c r="KZ27" s="17">
        <v>12790.5</v>
      </c>
      <c r="LA27" s="16" t="s">
        <v>30</v>
      </c>
      <c r="LB27" s="18">
        <v>12524</v>
      </c>
      <c r="LC27" s="16" t="s">
        <v>30</v>
      </c>
      <c r="LD27" s="17">
        <v>12546.3</v>
      </c>
      <c r="LE27" s="16" t="s">
        <v>30</v>
      </c>
      <c r="LF27" s="17">
        <v>12592.8</v>
      </c>
      <c r="LG27" s="16" t="s">
        <v>30</v>
      </c>
      <c r="LH27" s="17">
        <v>13528.4</v>
      </c>
      <c r="LI27" s="16" t="s">
        <v>30</v>
      </c>
      <c r="LJ27" s="17">
        <v>13159.1</v>
      </c>
      <c r="LK27" s="16" t="s">
        <v>30</v>
      </c>
      <c r="LL27" s="17">
        <v>13476.6</v>
      </c>
      <c r="LM27" s="16" t="s">
        <v>30</v>
      </c>
      <c r="LN27" s="17">
        <v>13197.3</v>
      </c>
      <c r="LO27" s="16" t="s">
        <v>30</v>
      </c>
      <c r="LP27" s="17">
        <v>13723.7</v>
      </c>
      <c r="LQ27" s="16" t="s">
        <v>30</v>
      </c>
      <c r="LR27" s="17">
        <v>13631.4</v>
      </c>
      <c r="LS27" s="16" t="s">
        <v>30</v>
      </c>
      <c r="LT27" s="18">
        <v>14041</v>
      </c>
      <c r="LU27" s="16" t="s">
        <v>30</v>
      </c>
      <c r="LV27" s="17">
        <v>13976.7</v>
      </c>
      <c r="LW27" s="16" t="s">
        <v>30</v>
      </c>
      <c r="LX27" s="17">
        <v>14626.8</v>
      </c>
      <c r="LY27" s="16" t="s">
        <v>30</v>
      </c>
      <c r="LZ27" s="17">
        <v>13693.6</v>
      </c>
      <c r="MA27" s="16" t="s">
        <v>30</v>
      </c>
      <c r="MB27" s="17">
        <v>14129.8</v>
      </c>
      <c r="MC27" s="16" t="s">
        <v>30</v>
      </c>
      <c r="MD27" s="17">
        <v>14113.9</v>
      </c>
      <c r="ME27" s="16" t="s">
        <v>30</v>
      </c>
      <c r="MF27" s="17">
        <v>14849.8</v>
      </c>
      <c r="MG27" s="16" t="s">
        <v>30</v>
      </c>
      <c r="MH27" s="18">
        <v>14021</v>
      </c>
      <c r="MI27" s="16" t="s">
        <v>30</v>
      </c>
      <c r="MJ27" s="17">
        <v>14314.6</v>
      </c>
      <c r="MK27" s="16" t="s">
        <v>30</v>
      </c>
      <c r="ML27" s="17">
        <v>14265.3</v>
      </c>
      <c r="MM27" s="16" t="s">
        <v>30</v>
      </c>
      <c r="MN27" s="17">
        <v>14890.5</v>
      </c>
      <c r="MO27" s="16" t="s">
        <v>30</v>
      </c>
      <c r="MP27" s="17">
        <v>14246.1</v>
      </c>
      <c r="MQ27" s="16" t="s">
        <v>30</v>
      </c>
      <c r="MR27" s="17">
        <v>14827.8</v>
      </c>
      <c r="MS27" s="16" t="s">
        <v>30</v>
      </c>
      <c r="MT27" s="17">
        <v>14709.3</v>
      </c>
      <c r="MU27" s="16" t="s">
        <v>30</v>
      </c>
      <c r="MV27" s="17">
        <v>15333.8</v>
      </c>
      <c r="MW27" s="16" t="s">
        <v>30</v>
      </c>
      <c r="MX27" s="17">
        <v>14506.9</v>
      </c>
      <c r="MY27" s="16" t="s">
        <v>30</v>
      </c>
      <c r="MZ27" s="17">
        <v>13919.6</v>
      </c>
      <c r="NA27" s="16" t="s">
        <v>30</v>
      </c>
      <c r="NB27" s="17">
        <v>14734.4</v>
      </c>
      <c r="NC27" s="16" t="s">
        <v>30</v>
      </c>
      <c r="ND27" s="17">
        <v>15432.4</v>
      </c>
      <c r="NE27" s="16" t="s">
        <v>30</v>
      </c>
      <c r="NF27" s="18">
        <v>15363</v>
      </c>
      <c r="NG27" s="16" t="s">
        <v>30</v>
      </c>
      <c r="NH27" s="17">
        <v>15619.7</v>
      </c>
      <c r="NI27" s="16" t="s">
        <v>30</v>
      </c>
      <c r="NJ27" s="18">
        <v>15515</v>
      </c>
      <c r="NK27" s="16" t="s">
        <v>30</v>
      </c>
      <c r="NL27" s="17">
        <v>16344.4</v>
      </c>
      <c r="NM27" s="16" t="s">
        <v>30</v>
      </c>
      <c r="NN27" s="17">
        <v>15262.2</v>
      </c>
      <c r="NO27" s="16" t="s">
        <v>30</v>
      </c>
      <c r="NP27" s="17">
        <v>15485.1</v>
      </c>
      <c r="NQ27" s="16" t="s">
        <v>30</v>
      </c>
      <c r="NR27" s="17">
        <v>15382.8</v>
      </c>
      <c r="NS27" s="16" t="s">
        <v>30</v>
      </c>
      <c r="NT27" s="18">
        <v>15779</v>
      </c>
      <c r="NU27" s="16" t="s">
        <v>30</v>
      </c>
      <c r="NV27" s="17">
        <v>15214.7</v>
      </c>
      <c r="NW27" s="16" t="s">
        <v>30</v>
      </c>
      <c r="NX27" s="17">
        <v>15594.1</v>
      </c>
      <c r="NY27" s="16" t="s">
        <v>30</v>
      </c>
      <c r="NZ27" s="18">
        <v>15418</v>
      </c>
      <c r="OA27" s="16" t="s">
        <v>30</v>
      </c>
      <c r="OB27" s="17">
        <v>15591.6</v>
      </c>
      <c r="OC27" s="16" t="s">
        <v>30</v>
      </c>
      <c r="OD27" s="17">
        <v>15681.9</v>
      </c>
      <c r="OE27" s="16" t="s">
        <v>30</v>
      </c>
      <c r="OF27" s="18">
        <v>15682</v>
      </c>
      <c r="OG27" s="16" t="s">
        <v>30</v>
      </c>
      <c r="OH27" s="17">
        <v>15057.1</v>
      </c>
      <c r="OI27" s="16" t="s">
        <v>30</v>
      </c>
      <c r="OJ27" s="18">
        <v>15440</v>
      </c>
      <c r="OK27" s="16" t="s">
        <v>30</v>
      </c>
      <c r="OL27" s="17">
        <v>15254.8</v>
      </c>
      <c r="OM27" s="16" t="s">
        <v>237</v>
      </c>
      <c r="ON27" s="17">
        <v>15549.9</v>
      </c>
      <c r="OO27" s="16" t="s">
        <v>237</v>
      </c>
      <c r="OP27" s="16" t="s">
        <v>235</v>
      </c>
      <c r="OQ27" s="16" t="s">
        <v>30</v>
      </c>
    </row>
    <row r="28" spans="1:407" x14ac:dyDescent="0.3">
      <c r="A28" s="12" t="s">
        <v>253</v>
      </c>
      <c r="B28" s="13" t="s">
        <v>235</v>
      </c>
      <c r="C28" s="13" t="s">
        <v>30</v>
      </c>
      <c r="D28" s="13" t="s">
        <v>235</v>
      </c>
      <c r="E28" s="13" t="s">
        <v>30</v>
      </c>
      <c r="F28" s="13" t="s">
        <v>235</v>
      </c>
      <c r="G28" s="13" t="s">
        <v>30</v>
      </c>
      <c r="H28" s="13" t="s">
        <v>235</v>
      </c>
      <c r="I28" s="13" t="s">
        <v>30</v>
      </c>
      <c r="J28" s="13" t="s">
        <v>235</v>
      </c>
      <c r="K28" s="13" t="s">
        <v>30</v>
      </c>
      <c r="L28" s="13" t="s">
        <v>235</v>
      </c>
      <c r="M28" s="13" t="s">
        <v>30</v>
      </c>
      <c r="N28" s="13" t="s">
        <v>235</v>
      </c>
      <c r="O28" s="13" t="s">
        <v>30</v>
      </c>
      <c r="P28" s="13" t="s">
        <v>235</v>
      </c>
      <c r="Q28" s="13" t="s">
        <v>30</v>
      </c>
      <c r="R28" s="13" t="s">
        <v>235</v>
      </c>
      <c r="S28" s="13" t="s">
        <v>30</v>
      </c>
      <c r="T28" s="13" t="s">
        <v>235</v>
      </c>
      <c r="U28" s="13" t="s">
        <v>30</v>
      </c>
      <c r="V28" s="13" t="s">
        <v>235</v>
      </c>
      <c r="W28" s="13" t="s">
        <v>30</v>
      </c>
      <c r="X28" s="13" t="s">
        <v>235</v>
      </c>
      <c r="Y28" s="13" t="s">
        <v>30</v>
      </c>
      <c r="Z28" s="13" t="s">
        <v>235</v>
      </c>
      <c r="AA28" s="13" t="s">
        <v>30</v>
      </c>
      <c r="AB28" s="13" t="s">
        <v>235</v>
      </c>
      <c r="AC28" s="13" t="s">
        <v>30</v>
      </c>
      <c r="AD28" s="13" t="s">
        <v>235</v>
      </c>
      <c r="AE28" s="13" t="s">
        <v>30</v>
      </c>
      <c r="AF28" s="13" t="s">
        <v>235</v>
      </c>
      <c r="AG28" s="13" t="s">
        <v>30</v>
      </c>
      <c r="AH28" s="13" t="s">
        <v>235</v>
      </c>
      <c r="AI28" s="13" t="s">
        <v>30</v>
      </c>
      <c r="AJ28" s="13" t="s">
        <v>235</v>
      </c>
      <c r="AK28" s="13" t="s">
        <v>30</v>
      </c>
      <c r="AL28" s="13" t="s">
        <v>235</v>
      </c>
      <c r="AM28" s="13" t="s">
        <v>30</v>
      </c>
      <c r="AN28" s="13" t="s">
        <v>235</v>
      </c>
      <c r="AO28" s="13" t="s">
        <v>30</v>
      </c>
      <c r="AP28" s="13" t="s">
        <v>235</v>
      </c>
      <c r="AQ28" s="13" t="s">
        <v>30</v>
      </c>
      <c r="AR28" s="13" t="s">
        <v>235</v>
      </c>
      <c r="AS28" s="13" t="s">
        <v>30</v>
      </c>
      <c r="AT28" s="13" t="s">
        <v>235</v>
      </c>
      <c r="AU28" s="13" t="s">
        <v>30</v>
      </c>
      <c r="AV28" s="13" t="s">
        <v>235</v>
      </c>
      <c r="AW28" s="13" t="s">
        <v>30</v>
      </c>
      <c r="AX28" s="13" t="s">
        <v>235</v>
      </c>
      <c r="AY28" s="13" t="s">
        <v>30</v>
      </c>
      <c r="AZ28" s="13" t="s">
        <v>235</v>
      </c>
      <c r="BA28" s="13" t="s">
        <v>30</v>
      </c>
      <c r="BB28" s="13" t="s">
        <v>235</v>
      </c>
      <c r="BC28" s="13" t="s">
        <v>30</v>
      </c>
      <c r="BD28" s="13" t="s">
        <v>235</v>
      </c>
      <c r="BE28" s="13" t="s">
        <v>30</v>
      </c>
      <c r="BF28" s="13" t="s">
        <v>235</v>
      </c>
      <c r="BG28" s="13" t="s">
        <v>30</v>
      </c>
      <c r="BH28" s="13" t="s">
        <v>235</v>
      </c>
      <c r="BI28" s="13" t="s">
        <v>30</v>
      </c>
      <c r="BJ28" s="13" t="s">
        <v>235</v>
      </c>
      <c r="BK28" s="13" t="s">
        <v>30</v>
      </c>
      <c r="BL28" s="13" t="s">
        <v>235</v>
      </c>
      <c r="BM28" s="13" t="s">
        <v>30</v>
      </c>
      <c r="BN28" s="13" t="s">
        <v>235</v>
      </c>
      <c r="BO28" s="13" t="s">
        <v>30</v>
      </c>
      <c r="BP28" s="13" t="s">
        <v>235</v>
      </c>
      <c r="BQ28" s="13" t="s">
        <v>30</v>
      </c>
      <c r="BR28" s="13" t="s">
        <v>235</v>
      </c>
      <c r="BS28" s="13" t="s">
        <v>30</v>
      </c>
      <c r="BT28" s="13" t="s">
        <v>235</v>
      </c>
      <c r="BU28" s="13" t="s">
        <v>30</v>
      </c>
      <c r="BV28" s="13" t="s">
        <v>235</v>
      </c>
      <c r="BW28" s="13" t="s">
        <v>30</v>
      </c>
      <c r="BX28" s="13" t="s">
        <v>235</v>
      </c>
      <c r="BY28" s="13" t="s">
        <v>30</v>
      </c>
      <c r="BZ28" s="13" t="s">
        <v>235</v>
      </c>
      <c r="CA28" s="13" t="s">
        <v>30</v>
      </c>
      <c r="CB28" s="13" t="s">
        <v>235</v>
      </c>
      <c r="CC28" s="13" t="s">
        <v>30</v>
      </c>
      <c r="CD28" s="13" t="s">
        <v>235</v>
      </c>
      <c r="CE28" s="13" t="s">
        <v>30</v>
      </c>
      <c r="CF28" s="13" t="s">
        <v>235</v>
      </c>
      <c r="CG28" s="13" t="s">
        <v>30</v>
      </c>
      <c r="CH28" s="13" t="s">
        <v>235</v>
      </c>
      <c r="CI28" s="13" t="s">
        <v>30</v>
      </c>
      <c r="CJ28" s="13" t="s">
        <v>235</v>
      </c>
      <c r="CK28" s="13" t="s">
        <v>30</v>
      </c>
      <c r="CL28" s="13" t="s">
        <v>235</v>
      </c>
      <c r="CM28" s="13" t="s">
        <v>30</v>
      </c>
      <c r="CN28" s="13" t="s">
        <v>235</v>
      </c>
      <c r="CO28" s="13" t="s">
        <v>30</v>
      </c>
      <c r="CP28" s="13" t="s">
        <v>235</v>
      </c>
      <c r="CQ28" s="13" t="s">
        <v>30</v>
      </c>
      <c r="CR28" s="13" t="s">
        <v>235</v>
      </c>
      <c r="CS28" s="13" t="s">
        <v>30</v>
      </c>
      <c r="CT28" s="13" t="s">
        <v>235</v>
      </c>
      <c r="CU28" s="13" t="s">
        <v>30</v>
      </c>
      <c r="CV28" s="13" t="s">
        <v>235</v>
      </c>
      <c r="CW28" s="13" t="s">
        <v>30</v>
      </c>
      <c r="CX28" s="13" t="s">
        <v>235</v>
      </c>
      <c r="CY28" s="13" t="s">
        <v>30</v>
      </c>
      <c r="CZ28" s="13" t="s">
        <v>235</v>
      </c>
      <c r="DA28" s="13" t="s">
        <v>30</v>
      </c>
      <c r="DB28" s="13" t="s">
        <v>235</v>
      </c>
      <c r="DC28" s="13" t="s">
        <v>30</v>
      </c>
      <c r="DD28" s="13" t="s">
        <v>235</v>
      </c>
      <c r="DE28" s="13" t="s">
        <v>30</v>
      </c>
      <c r="DF28" s="13" t="s">
        <v>235</v>
      </c>
      <c r="DG28" s="13" t="s">
        <v>30</v>
      </c>
      <c r="DH28" s="13" t="s">
        <v>235</v>
      </c>
      <c r="DI28" s="13" t="s">
        <v>30</v>
      </c>
      <c r="DJ28" s="13" t="s">
        <v>235</v>
      </c>
      <c r="DK28" s="13" t="s">
        <v>30</v>
      </c>
      <c r="DL28" s="13" t="s">
        <v>235</v>
      </c>
      <c r="DM28" s="13" t="s">
        <v>30</v>
      </c>
      <c r="DN28" s="13" t="s">
        <v>235</v>
      </c>
      <c r="DO28" s="13" t="s">
        <v>30</v>
      </c>
      <c r="DP28" s="13" t="s">
        <v>235</v>
      </c>
      <c r="DQ28" s="13" t="s">
        <v>30</v>
      </c>
      <c r="DR28" s="13" t="s">
        <v>235</v>
      </c>
      <c r="DS28" s="13" t="s">
        <v>30</v>
      </c>
      <c r="DT28" s="13" t="s">
        <v>235</v>
      </c>
      <c r="DU28" s="13" t="s">
        <v>30</v>
      </c>
      <c r="DV28" s="13" t="s">
        <v>235</v>
      </c>
      <c r="DW28" s="13" t="s">
        <v>30</v>
      </c>
      <c r="DX28" s="13" t="s">
        <v>235</v>
      </c>
      <c r="DY28" s="13" t="s">
        <v>30</v>
      </c>
      <c r="DZ28" s="13" t="s">
        <v>235</v>
      </c>
      <c r="EA28" s="13" t="s">
        <v>30</v>
      </c>
      <c r="EB28" s="13" t="s">
        <v>235</v>
      </c>
      <c r="EC28" s="13" t="s">
        <v>30</v>
      </c>
      <c r="ED28" s="13" t="s">
        <v>235</v>
      </c>
      <c r="EE28" s="13" t="s">
        <v>30</v>
      </c>
      <c r="EF28" s="13" t="s">
        <v>235</v>
      </c>
      <c r="EG28" s="13" t="s">
        <v>30</v>
      </c>
      <c r="EH28" s="13" t="s">
        <v>235</v>
      </c>
      <c r="EI28" s="13" t="s">
        <v>30</v>
      </c>
      <c r="EJ28" s="13" t="s">
        <v>235</v>
      </c>
      <c r="EK28" s="13" t="s">
        <v>30</v>
      </c>
      <c r="EL28" s="13" t="s">
        <v>235</v>
      </c>
      <c r="EM28" s="13" t="s">
        <v>30</v>
      </c>
      <c r="EN28" s="13" t="s">
        <v>235</v>
      </c>
      <c r="EO28" s="13" t="s">
        <v>30</v>
      </c>
      <c r="EP28" s="13" t="s">
        <v>235</v>
      </c>
      <c r="EQ28" s="13" t="s">
        <v>30</v>
      </c>
      <c r="ER28" s="13" t="s">
        <v>235</v>
      </c>
      <c r="ES28" s="13" t="s">
        <v>30</v>
      </c>
      <c r="ET28" s="13" t="s">
        <v>235</v>
      </c>
      <c r="EU28" s="13" t="s">
        <v>30</v>
      </c>
      <c r="EV28" s="13" t="s">
        <v>235</v>
      </c>
      <c r="EW28" s="13" t="s">
        <v>30</v>
      </c>
      <c r="EX28" s="13" t="s">
        <v>235</v>
      </c>
      <c r="EY28" s="13" t="s">
        <v>30</v>
      </c>
      <c r="EZ28" s="13" t="s">
        <v>235</v>
      </c>
      <c r="FA28" s="13" t="s">
        <v>30</v>
      </c>
      <c r="FB28" s="13" t="s">
        <v>235</v>
      </c>
      <c r="FC28" s="13" t="s">
        <v>30</v>
      </c>
      <c r="FD28" s="13" t="s">
        <v>235</v>
      </c>
      <c r="FE28" s="13" t="s">
        <v>30</v>
      </c>
      <c r="FF28" s="14">
        <v>5287993.4000000004</v>
      </c>
      <c r="FG28" s="13" t="s">
        <v>30</v>
      </c>
      <c r="FH28" s="14">
        <v>5690937.7999999998</v>
      </c>
      <c r="FI28" s="13" t="s">
        <v>30</v>
      </c>
      <c r="FJ28" s="14">
        <v>5807672.5</v>
      </c>
      <c r="FK28" s="13" t="s">
        <v>30</v>
      </c>
      <c r="FL28" s="14">
        <v>5939092.9000000004</v>
      </c>
      <c r="FM28" s="13" t="s">
        <v>30</v>
      </c>
      <c r="FN28" s="14">
        <v>5322572.5999999996</v>
      </c>
      <c r="FO28" s="13" t="s">
        <v>30</v>
      </c>
      <c r="FP28" s="14">
        <v>5747967.7999999998</v>
      </c>
      <c r="FQ28" s="13" t="s">
        <v>30</v>
      </c>
      <c r="FR28" s="15">
        <v>5848503</v>
      </c>
      <c r="FS28" s="13" t="s">
        <v>30</v>
      </c>
      <c r="FT28" s="14">
        <v>6121961.7000000002</v>
      </c>
      <c r="FU28" s="13" t="s">
        <v>30</v>
      </c>
      <c r="FV28" s="14">
        <v>5340906.4000000004</v>
      </c>
      <c r="FW28" s="13" t="s">
        <v>30</v>
      </c>
      <c r="FX28" s="14">
        <v>5919752.7999999998</v>
      </c>
      <c r="FY28" s="13" t="s">
        <v>30</v>
      </c>
      <c r="FZ28" s="14">
        <v>6097560.0999999996</v>
      </c>
      <c r="GA28" s="13" t="s">
        <v>30</v>
      </c>
      <c r="GB28" s="14">
        <v>6340159.9000000004</v>
      </c>
      <c r="GC28" s="13" t="s">
        <v>30</v>
      </c>
      <c r="GD28" s="14">
        <v>5524837.2000000002</v>
      </c>
      <c r="GE28" s="13" t="s">
        <v>30</v>
      </c>
      <c r="GF28" s="14">
        <v>6134792.2000000002</v>
      </c>
      <c r="GG28" s="13" t="s">
        <v>30</v>
      </c>
      <c r="GH28" s="14">
        <v>6359346.5999999996</v>
      </c>
      <c r="GI28" s="13" t="s">
        <v>30</v>
      </c>
      <c r="GJ28" s="14">
        <v>6578803.2000000002</v>
      </c>
      <c r="GK28" s="13" t="s">
        <v>30</v>
      </c>
      <c r="GL28" s="14">
        <v>5633211.2000000002</v>
      </c>
      <c r="GM28" s="13" t="s">
        <v>30</v>
      </c>
      <c r="GN28" s="14">
        <v>6257389.4000000004</v>
      </c>
      <c r="GO28" s="13" t="s">
        <v>30</v>
      </c>
      <c r="GP28" s="14">
        <v>6544382.2999999998</v>
      </c>
      <c r="GQ28" s="13" t="s">
        <v>30</v>
      </c>
      <c r="GR28" s="14">
        <v>6880335.7999999998</v>
      </c>
      <c r="GS28" s="13" t="s">
        <v>30</v>
      </c>
      <c r="GT28" s="14">
        <v>5934790.4000000004</v>
      </c>
      <c r="GU28" s="13" t="s">
        <v>30</v>
      </c>
      <c r="GV28" s="15">
        <v>6548157</v>
      </c>
      <c r="GW28" s="13" t="s">
        <v>30</v>
      </c>
      <c r="GX28" s="14">
        <v>6801758.4000000004</v>
      </c>
      <c r="GY28" s="13" t="s">
        <v>30</v>
      </c>
      <c r="GZ28" s="14">
        <v>7123990.4000000004</v>
      </c>
      <c r="HA28" s="13" t="s">
        <v>30</v>
      </c>
      <c r="HB28" s="14">
        <v>6235053.4000000004</v>
      </c>
      <c r="HC28" s="13" t="s">
        <v>30</v>
      </c>
      <c r="HD28" s="14">
        <v>6857718.2000000002</v>
      </c>
      <c r="HE28" s="13" t="s">
        <v>30</v>
      </c>
      <c r="HF28" s="14">
        <v>7081212.2000000002</v>
      </c>
      <c r="HG28" s="13" t="s">
        <v>30</v>
      </c>
      <c r="HH28" s="14">
        <v>7354542.2999999998</v>
      </c>
      <c r="HI28" s="13" t="s">
        <v>30</v>
      </c>
      <c r="HJ28" s="14">
        <v>6525429.7999999998</v>
      </c>
      <c r="HK28" s="13" t="s">
        <v>30</v>
      </c>
      <c r="HL28" s="14">
        <v>7194140.9000000004</v>
      </c>
      <c r="HM28" s="13" t="s">
        <v>30</v>
      </c>
      <c r="HN28" s="14">
        <v>7407188.5</v>
      </c>
      <c r="HO28" s="13" t="s">
        <v>30</v>
      </c>
      <c r="HP28" s="14">
        <v>7731908.2999999998</v>
      </c>
      <c r="HQ28" s="13" t="s">
        <v>30</v>
      </c>
      <c r="HR28" s="14">
        <v>6732608.0999999996</v>
      </c>
      <c r="HS28" s="13" t="s">
        <v>30</v>
      </c>
      <c r="HT28" s="14">
        <v>7488984.5</v>
      </c>
      <c r="HU28" s="13" t="s">
        <v>30</v>
      </c>
      <c r="HV28" s="14">
        <v>7731425.5999999996</v>
      </c>
      <c r="HW28" s="13" t="s">
        <v>30</v>
      </c>
      <c r="HX28" s="14">
        <v>8087842.0999999996</v>
      </c>
      <c r="HY28" s="13" t="s">
        <v>30</v>
      </c>
      <c r="HZ28" s="14">
        <v>7025281.2000000002</v>
      </c>
      <c r="IA28" s="13" t="s">
        <v>30</v>
      </c>
      <c r="IB28" s="14">
        <v>7886084.9000000004</v>
      </c>
      <c r="IC28" s="13" t="s">
        <v>30</v>
      </c>
      <c r="ID28" s="14">
        <v>8137383.2999999998</v>
      </c>
      <c r="IE28" s="13" t="s">
        <v>30</v>
      </c>
      <c r="IF28" s="14">
        <v>8476957.5999999996</v>
      </c>
      <c r="IG28" s="13" t="s">
        <v>30</v>
      </c>
      <c r="IH28" s="14">
        <v>7286859.5999999996</v>
      </c>
      <c r="II28" s="13" t="s">
        <v>30</v>
      </c>
      <c r="IJ28" s="14">
        <v>8254035.7999999998</v>
      </c>
      <c r="IK28" s="13" t="s">
        <v>30</v>
      </c>
      <c r="IL28" s="14">
        <v>8454663.0999999996</v>
      </c>
      <c r="IM28" s="13" t="s">
        <v>30</v>
      </c>
      <c r="IN28" s="14">
        <v>8863167.0999999996</v>
      </c>
      <c r="IO28" s="13" t="s">
        <v>30</v>
      </c>
      <c r="IP28" s="14">
        <v>7646670.2000000002</v>
      </c>
      <c r="IQ28" s="13" t="s">
        <v>30</v>
      </c>
      <c r="IR28" s="14">
        <v>8535983.8000000007</v>
      </c>
      <c r="IS28" s="13" t="s">
        <v>30</v>
      </c>
      <c r="IT28" s="14">
        <v>8757346.6999999993</v>
      </c>
      <c r="IU28" s="13" t="s">
        <v>30</v>
      </c>
      <c r="IV28" s="14">
        <v>9195510.5</v>
      </c>
      <c r="IW28" s="13" t="s">
        <v>30</v>
      </c>
      <c r="IX28" s="14">
        <v>7780938.9000000004</v>
      </c>
      <c r="IY28" s="13" t="s">
        <v>30</v>
      </c>
      <c r="IZ28" s="14">
        <v>8546989.0999999996</v>
      </c>
      <c r="JA28" s="13" t="s">
        <v>30</v>
      </c>
      <c r="JB28" s="14">
        <v>8750388.0999999996</v>
      </c>
      <c r="JC28" s="13" t="s">
        <v>30</v>
      </c>
      <c r="JD28" s="14">
        <v>9150866.0999999996</v>
      </c>
      <c r="JE28" s="13" t="s">
        <v>30</v>
      </c>
      <c r="JF28" s="14">
        <v>7893280.4000000004</v>
      </c>
      <c r="JG28" s="13" t="s">
        <v>30</v>
      </c>
      <c r="JH28" s="14">
        <v>8757025.0999999996</v>
      </c>
      <c r="JI28" s="13" t="s">
        <v>30</v>
      </c>
      <c r="JJ28" s="14">
        <v>8927814.8000000007</v>
      </c>
      <c r="JK28" s="13" t="s">
        <v>30</v>
      </c>
      <c r="JL28" s="14">
        <v>8932845.6999999993</v>
      </c>
      <c r="JM28" s="13" t="s">
        <v>30</v>
      </c>
      <c r="JN28" s="14">
        <v>7310682.4000000004</v>
      </c>
      <c r="JO28" s="13" t="s">
        <v>30</v>
      </c>
      <c r="JP28" s="14">
        <v>8029899.4000000004</v>
      </c>
      <c r="JQ28" s="13" t="s">
        <v>30</v>
      </c>
      <c r="JR28" s="14">
        <v>8235363.0999999996</v>
      </c>
      <c r="JS28" s="13" t="s">
        <v>30</v>
      </c>
      <c r="JT28" s="14">
        <v>8582901.3000000007</v>
      </c>
      <c r="JU28" s="13" t="s">
        <v>30</v>
      </c>
      <c r="JV28" s="14">
        <v>7312018.4000000004</v>
      </c>
      <c r="JW28" s="13" t="s">
        <v>30</v>
      </c>
      <c r="JX28" s="14">
        <v>8121087.7000000002</v>
      </c>
      <c r="JY28" s="13" t="s">
        <v>30</v>
      </c>
      <c r="JZ28" s="14">
        <v>8382662.0999999996</v>
      </c>
      <c r="KA28" s="13" t="s">
        <v>30</v>
      </c>
      <c r="KB28" s="14">
        <v>8756335.0999999996</v>
      </c>
      <c r="KC28" s="13" t="s">
        <v>30</v>
      </c>
      <c r="KD28" s="14">
        <v>7537866.2999999998</v>
      </c>
      <c r="KE28" s="13" t="s">
        <v>30</v>
      </c>
      <c r="KF28" s="14">
        <v>8245907.5</v>
      </c>
      <c r="KG28" s="13" t="s">
        <v>30</v>
      </c>
      <c r="KH28" s="14">
        <v>8491108.4000000004</v>
      </c>
      <c r="KI28" s="13" t="s">
        <v>30</v>
      </c>
      <c r="KJ28" s="14">
        <v>8952540.5999999996</v>
      </c>
      <c r="KK28" s="13" t="s">
        <v>30</v>
      </c>
      <c r="KL28" s="14">
        <v>7518447.5</v>
      </c>
      <c r="KM28" s="13" t="s">
        <v>30</v>
      </c>
      <c r="KN28" s="14">
        <v>8155154.2000000002</v>
      </c>
      <c r="KO28" s="13" t="s">
        <v>30</v>
      </c>
      <c r="KP28" s="14">
        <v>8398361.5999999996</v>
      </c>
      <c r="KQ28" s="13" t="s">
        <v>30</v>
      </c>
      <c r="KR28" s="14">
        <v>8710118.8000000007</v>
      </c>
      <c r="KS28" s="13" t="s">
        <v>30</v>
      </c>
      <c r="KT28" s="14">
        <v>7493519.9000000004</v>
      </c>
      <c r="KU28" s="13" t="s">
        <v>30</v>
      </c>
      <c r="KV28" s="14">
        <v>8320227.7999999998</v>
      </c>
      <c r="KW28" s="13" t="s">
        <v>30</v>
      </c>
      <c r="KX28" s="14">
        <v>8736030.0999999996</v>
      </c>
      <c r="KY28" s="13" t="s">
        <v>30</v>
      </c>
      <c r="KZ28" s="14">
        <v>9118610.9000000004</v>
      </c>
      <c r="LA28" s="13" t="s">
        <v>30</v>
      </c>
      <c r="LB28" s="15">
        <v>7836526</v>
      </c>
      <c r="LC28" s="13" t="s">
        <v>30</v>
      </c>
      <c r="LD28" s="14">
        <v>8768572.9000000004</v>
      </c>
      <c r="LE28" s="13" t="s">
        <v>30</v>
      </c>
      <c r="LF28" s="15">
        <v>9106454</v>
      </c>
      <c r="LG28" s="13" t="s">
        <v>30</v>
      </c>
      <c r="LH28" s="14">
        <v>9502368.8000000007</v>
      </c>
      <c r="LI28" s="13" t="s">
        <v>30</v>
      </c>
      <c r="LJ28" s="14">
        <v>8203339.0999999996</v>
      </c>
      <c r="LK28" s="13" t="s">
        <v>30</v>
      </c>
      <c r="LL28" s="14">
        <v>9060369.6999999993</v>
      </c>
      <c r="LM28" s="13" t="s">
        <v>30</v>
      </c>
      <c r="LN28" s="15">
        <v>9367704</v>
      </c>
      <c r="LO28" s="13" t="s">
        <v>30</v>
      </c>
      <c r="LP28" s="14">
        <v>9861493.6999999993</v>
      </c>
      <c r="LQ28" s="13" t="s">
        <v>30</v>
      </c>
      <c r="LR28" s="14">
        <v>8328334.5999999996</v>
      </c>
      <c r="LS28" s="13" t="s">
        <v>30</v>
      </c>
      <c r="LT28" s="14">
        <v>9371487.1999999993</v>
      </c>
      <c r="LU28" s="13" t="s">
        <v>30</v>
      </c>
      <c r="LV28" s="15">
        <v>9622766</v>
      </c>
      <c r="LW28" s="13" t="s">
        <v>30</v>
      </c>
      <c r="LX28" s="14">
        <v>10111664.9</v>
      </c>
      <c r="LY28" s="13" t="s">
        <v>30</v>
      </c>
      <c r="LZ28" s="14">
        <v>8710627.5999999996</v>
      </c>
      <c r="MA28" s="13" t="s">
        <v>30</v>
      </c>
      <c r="MB28" s="15">
        <v>9681352</v>
      </c>
      <c r="MC28" s="13" t="s">
        <v>30</v>
      </c>
      <c r="MD28" s="14">
        <v>10006823.5</v>
      </c>
      <c r="ME28" s="13" t="s">
        <v>30</v>
      </c>
      <c r="MF28" s="14">
        <v>10541530.800000001</v>
      </c>
      <c r="MG28" s="13" t="s">
        <v>30</v>
      </c>
      <c r="MH28" s="15">
        <v>9185485</v>
      </c>
      <c r="MI28" s="13" t="s">
        <v>30</v>
      </c>
      <c r="MJ28" s="14">
        <v>10245913.9</v>
      </c>
      <c r="MK28" s="13" t="s">
        <v>30</v>
      </c>
      <c r="ML28" s="14">
        <v>10613920.9</v>
      </c>
      <c r="MM28" s="13" t="s">
        <v>30</v>
      </c>
      <c r="MN28" s="14">
        <v>11173484.5</v>
      </c>
      <c r="MO28" s="13" t="s">
        <v>30</v>
      </c>
      <c r="MP28" s="14">
        <v>9657919.8000000007</v>
      </c>
      <c r="MQ28" s="13" t="s">
        <v>30</v>
      </c>
      <c r="MR28" s="14">
        <v>10743585.9</v>
      </c>
      <c r="MS28" s="13" t="s">
        <v>30</v>
      </c>
      <c r="MT28" s="14">
        <v>11176054.4</v>
      </c>
      <c r="MU28" s="13" t="s">
        <v>30</v>
      </c>
      <c r="MV28" s="14">
        <v>11665196.699999999</v>
      </c>
      <c r="MW28" s="13" t="s">
        <v>30</v>
      </c>
      <c r="MX28" s="14">
        <v>9851251.0999999996</v>
      </c>
      <c r="MY28" s="13" t="s">
        <v>30</v>
      </c>
      <c r="MZ28" s="14">
        <v>9363521.1999999993</v>
      </c>
      <c r="NA28" s="13" t="s">
        <v>30</v>
      </c>
      <c r="NB28" s="14">
        <v>10686153.800000001</v>
      </c>
      <c r="NC28" s="13" t="s">
        <v>30</v>
      </c>
      <c r="ND28" s="15">
        <v>11348779</v>
      </c>
      <c r="NE28" s="13" t="s">
        <v>30</v>
      </c>
      <c r="NF28" s="14">
        <v>9646880.0999999996</v>
      </c>
      <c r="NG28" s="13" t="s">
        <v>30</v>
      </c>
      <c r="NH28" s="14">
        <v>11084193.5</v>
      </c>
      <c r="NI28" s="13" t="s">
        <v>30</v>
      </c>
      <c r="NJ28" s="14">
        <v>11421188.800000001</v>
      </c>
      <c r="NK28" s="13" t="s">
        <v>30</v>
      </c>
      <c r="NL28" s="14">
        <v>12244376.699999999</v>
      </c>
      <c r="NM28" s="13" t="s">
        <v>30</v>
      </c>
      <c r="NN28" s="14">
        <v>10288969.9</v>
      </c>
      <c r="NO28" s="13" t="s">
        <v>30</v>
      </c>
      <c r="NP28" s="14">
        <v>11780638.6</v>
      </c>
      <c r="NQ28" s="13" t="s">
        <v>30</v>
      </c>
      <c r="NR28" s="14">
        <v>11874224.4</v>
      </c>
      <c r="NS28" s="13" t="s">
        <v>30</v>
      </c>
      <c r="NT28" s="14">
        <v>12415274.1</v>
      </c>
      <c r="NU28" s="13" t="s">
        <v>30</v>
      </c>
      <c r="NV28" s="14">
        <v>10221435.199999999</v>
      </c>
      <c r="NW28" s="13" t="s">
        <v>30</v>
      </c>
      <c r="NX28" s="14">
        <v>11573420.9</v>
      </c>
      <c r="NY28" s="13" t="s">
        <v>30</v>
      </c>
      <c r="NZ28" s="15">
        <v>11993071</v>
      </c>
      <c r="OA28" s="13" t="s">
        <v>30</v>
      </c>
      <c r="OB28" s="14">
        <v>12470596.1</v>
      </c>
      <c r="OC28" s="13" t="s">
        <v>30</v>
      </c>
      <c r="OD28" s="14">
        <v>10288601.5</v>
      </c>
      <c r="OE28" s="13" t="s">
        <v>237</v>
      </c>
      <c r="OF28" s="14">
        <v>11704617.699999999</v>
      </c>
      <c r="OG28" s="13" t="s">
        <v>237</v>
      </c>
      <c r="OH28" s="14">
        <v>11858706.9</v>
      </c>
      <c r="OI28" s="13" t="s">
        <v>237</v>
      </c>
      <c r="OJ28" s="14">
        <v>12483418.4</v>
      </c>
      <c r="OK28" s="13" t="s">
        <v>237</v>
      </c>
      <c r="OL28" s="14">
        <v>10274214.1</v>
      </c>
      <c r="OM28" s="13" t="s">
        <v>237</v>
      </c>
      <c r="ON28" s="14">
        <v>11723295.199999999</v>
      </c>
      <c r="OO28" s="13" t="s">
        <v>237</v>
      </c>
      <c r="OP28" s="13" t="s">
        <v>235</v>
      </c>
      <c r="OQ28" s="13" t="s">
        <v>30</v>
      </c>
    </row>
    <row r="29" spans="1:407" x14ac:dyDescent="0.3">
      <c r="A29" s="12" t="s">
        <v>254</v>
      </c>
      <c r="B29" s="16" t="s">
        <v>235</v>
      </c>
      <c r="C29" s="16" t="s">
        <v>30</v>
      </c>
      <c r="D29" s="16" t="s">
        <v>235</v>
      </c>
      <c r="E29" s="16" t="s">
        <v>30</v>
      </c>
      <c r="F29" s="16" t="s">
        <v>235</v>
      </c>
      <c r="G29" s="16" t="s">
        <v>30</v>
      </c>
      <c r="H29" s="16" t="s">
        <v>235</v>
      </c>
      <c r="I29" s="16" t="s">
        <v>30</v>
      </c>
      <c r="J29" s="16" t="s">
        <v>235</v>
      </c>
      <c r="K29" s="16" t="s">
        <v>30</v>
      </c>
      <c r="L29" s="16" t="s">
        <v>235</v>
      </c>
      <c r="M29" s="16" t="s">
        <v>30</v>
      </c>
      <c r="N29" s="16" t="s">
        <v>235</v>
      </c>
      <c r="O29" s="16" t="s">
        <v>30</v>
      </c>
      <c r="P29" s="16" t="s">
        <v>235</v>
      </c>
      <c r="Q29" s="16" t="s">
        <v>30</v>
      </c>
      <c r="R29" s="16" t="s">
        <v>235</v>
      </c>
      <c r="S29" s="16" t="s">
        <v>30</v>
      </c>
      <c r="T29" s="16" t="s">
        <v>235</v>
      </c>
      <c r="U29" s="16" t="s">
        <v>30</v>
      </c>
      <c r="V29" s="16" t="s">
        <v>235</v>
      </c>
      <c r="W29" s="16" t="s">
        <v>30</v>
      </c>
      <c r="X29" s="16" t="s">
        <v>235</v>
      </c>
      <c r="Y29" s="16" t="s">
        <v>30</v>
      </c>
      <c r="Z29" s="16" t="s">
        <v>235</v>
      </c>
      <c r="AA29" s="16" t="s">
        <v>30</v>
      </c>
      <c r="AB29" s="16" t="s">
        <v>235</v>
      </c>
      <c r="AC29" s="16" t="s">
        <v>30</v>
      </c>
      <c r="AD29" s="16" t="s">
        <v>235</v>
      </c>
      <c r="AE29" s="16" t="s">
        <v>30</v>
      </c>
      <c r="AF29" s="16" t="s">
        <v>235</v>
      </c>
      <c r="AG29" s="16" t="s">
        <v>30</v>
      </c>
      <c r="AH29" s="16" t="s">
        <v>235</v>
      </c>
      <c r="AI29" s="16" t="s">
        <v>30</v>
      </c>
      <c r="AJ29" s="16" t="s">
        <v>235</v>
      </c>
      <c r="AK29" s="16" t="s">
        <v>30</v>
      </c>
      <c r="AL29" s="16" t="s">
        <v>235</v>
      </c>
      <c r="AM29" s="16" t="s">
        <v>30</v>
      </c>
      <c r="AN29" s="16" t="s">
        <v>235</v>
      </c>
      <c r="AO29" s="16" t="s">
        <v>30</v>
      </c>
      <c r="AP29" s="16" t="s">
        <v>235</v>
      </c>
      <c r="AQ29" s="16" t="s">
        <v>30</v>
      </c>
      <c r="AR29" s="16" t="s">
        <v>235</v>
      </c>
      <c r="AS29" s="16" t="s">
        <v>30</v>
      </c>
      <c r="AT29" s="16" t="s">
        <v>235</v>
      </c>
      <c r="AU29" s="16" t="s">
        <v>30</v>
      </c>
      <c r="AV29" s="16" t="s">
        <v>235</v>
      </c>
      <c r="AW29" s="16" t="s">
        <v>30</v>
      </c>
      <c r="AX29" s="16" t="s">
        <v>235</v>
      </c>
      <c r="AY29" s="16" t="s">
        <v>30</v>
      </c>
      <c r="AZ29" s="16" t="s">
        <v>235</v>
      </c>
      <c r="BA29" s="16" t="s">
        <v>30</v>
      </c>
      <c r="BB29" s="16" t="s">
        <v>235</v>
      </c>
      <c r="BC29" s="16" t="s">
        <v>30</v>
      </c>
      <c r="BD29" s="16" t="s">
        <v>235</v>
      </c>
      <c r="BE29" s="16" t="s">
        <v>30</v>
      </c>
      <c r="BF29" s="16" t="s">
        <v>235</v>
      </c>
      <c r="BG29" s="16" t="s">
        <v>30</v>
      </c>
      <c r="BH29" s="16" t="s">
        <v>235</v>
      </c>
      <c r="BI29" s="16" t="s">
        <v>30</v>
      </c>
      <c r="BJ29" s="16" t="s">
        <v>235</v>
      </c>
      <c r="BK29" s="16" t="s">
        <v>30</v>
      </c>
      <c r="BL29" s="16" t="s">
        <v>235</v>
      </c>
      <c r="BM29" s="16" t="s">
        <v>30</v>
      </c>
      <c r="BN29" s="16" t="s">
        <v>235</v>
      </c>
      <c r="BO29" s="16" t="s">
        <v>30</v>
      </c>
      <c r="BP29" s="16" t="s">
        <v>235</v>
      </c>
      <c r="BQ29" s="16" t="s">
        <v>30</v>
      </c>
      <c r="BR29" s="16" t="s">
        <v>235</v>
      </c>
      <c r="BS29" s="16" t="s">
        <v>30</v>
      </c>
      <c r="BT29" s="16" t="s">
        <v>235</v>
      </c>
      <c r="BU29" s="16" t="s">
        <v>30</v>
      </c>
      <c r="BV29" s="16" t="s">
        <v>235</v>
      </c>
      <c r="BW29" s="16" t="s">
        <v>30</v>
      </c>
      <c r="BX29" s="16" t="s">
        <v>235</v>
      </c>
      <c r="BY29" s="16" t="s">
        <v>30</v>
      </c>
      <c r="BZ29" s="16" t="s">
        <v>235</v>
      </c>
      <c r="CA29" s="16" t="s">
        <v>30</v>
      </c>
      <c r="CB29" s="16" t="s">
        <v>235</v>
      </c>
      <c r="CC29" s="16" t="s">
        <v>30</v>
      </c>
      <c r="CD29" s="16" t="s">
        <v>235</v>
      </c>
      <c r="CE29" s="16" t="s">
        <v>30</v>
      </c>
      <c r="CF29" s="16" t="s">
        <v>235</v>
      </c>
      <c r="CG29" s="16" t="s">
        <v>30</v>
      </c>
      <c r="CH29" s="16" t="s">
        <v>235</v>
      </c>
      <c r="CI29" s="16" t="s">
        <v>30</v>
      </c>
      <c r="CJ29" s="16" t="s">
        <v>235</v>
      </c>
      <c r="CK29" s="16" t="s">
        <v>30</v>
      </c>
      <c r="CL29" s="16" t="s">
        <v>235</v>
      </c>
      <c r="CM29" s="16" t="s">
        <v>30</v>
      </c>
      <c r="CN29" s="16" t="s">
        <v>235</v>
      </c>
      <c r="CO29" s="16" t="s">
        <v>30</v>
      </c>
      <c r="CP29" s="16" t="s">
        <v>235</v>
      </c>
      <c r="CQ29" s="16" t="s">
        <v>30</v>
      </c>
      <c r="CR29" s="16" t="s">
        <v>235</v>
      </c>
      <c r="CS29" s="16" t="s">
        <v>30</v>
      </c>
      <c r="CT29" s="16" t="s">
        <v>235</v>
      </c>
      <c r="CU29" s="16" t="s">
        <v>30</v>
      </c>
      <c r="CV29" s="16" t="s">
        <v>235</v>
      </c>
      <c r="CW29" s="16" t="s">
        <v>30</v>
      </c>
      <c r="CX29" s="16" t="s">
        <v>235</v>
      </c>
      <c r="CY29" s="16" t="s">
        <v>30</v>
      </c>
      <c r="CZ29" s="16" t="s">
        <v>235</v>
      </c>
      <c r="DA29" s="16" t="s">
        <v>30</v>
      </c>
      <c r="DB29" s="16" t="s">
        <v>235</v>
      </c>
      <c r="DC29" s="16" t="s">
        <v>30</v>
      </c>
      <c r="DD29" s="16" t="s">
        <v>235</v>
      </c>
      <c r="DE29" s="16" t="s">
        <v>30</v>
      </c>
      <c r="DF29" s="16" t="s">
        <v>235</v>
      </c>
      <c r="DG29" s="16" t="s">
        <v>30</v>
      </c>
      <c r="DH29" s="16" t="s">
        <v>235</v>
      </c>
      <c r="DI29" s="16" t="s">
        <v>30</v>
      </c>
      <c r="DJ29" s="16" t="s">
        <v>235</v>
      </c>
      <c r="DK29" s="16" t="s">
        <v>30</v>
      </c>
      <c r="DL29" s="16" t="s">
        <v>235</v>
      </c>
      <c r="DM29" s="16" t="s">
        <v>30</v>
      </c>
      <c r="DN29" s="16" t="s">
        <v>235</v>
      </c>
      <c r="DO29" s="16" t="s">
        <v>30</v>
      </c>
      <c r="DP29" s="16" t="s">
        <v>235</v>
      </c>
      <c r="DQ29" s="16" t="s">
        <v>30</v>
      </c>
      <c r="DR29" s="16" t="s">
        <v>235</v>
      </c>
      <c r="DS29" s="16" t="s">
        <v>30</v>
      </c>
      <c r="DT29" s="16" t="s">
        <v>235</v>
      </c>
      <c r="DU29" s="16" t="s">
        <v>30</v>
      </c>
      <c r="DV29" s="16" t="s">
        <v>235</v>
      </c>
      <c r="DW29" s="16" t="s">
        <v>30</v>
      </c>
      <c r="DX29" s="16" t="s">
        <v>235</v>
      </c>
      <c r="DY29" s="16" t="s">
        <v>30</v>
      </c>
      <c r="DZ29" s="16" t="s">
        <v>235</v>
      </c>
      <c r="EA29" s="16" t="s">
        <v>30</v>
      </c>
      <c r="EB29" s="16" t="s">
        <v>235</v>
      </c>
      <c r="EC29" s="16" t="s">
        <v>30</v>
      </c>
      <c r="ED29" s="16" t="s">
        <v>235</v>
      </c>
      <c r="EE29" s="16" t="s">
        <v>30</v>
      </c>
      <c r="EF29" s="16" t="s">
        <v>235</v>
      </c>
      <c r="EG29" s="16" t="s">
        <v>30</v>
      </c>
      <c r="EH29" s="16" t="s">
        <v>235</v>
      </c>
      <c r="EI29" s="16" t="s">
        <v>30</v>
      </c>
      <c r="EJ29" s="16" t="s">
        <v>235</v>
      </c>
      <c r="EK29" s="16" t="s">
        <v>30</v>
      </c>
      <c r="EL29" s="16" t="s">
        <v>235</v>
      </c>
      <c r="EM29" s="16" t="s">
        <v>30</v>
      </c>
      <c r="EN29" s="16" t="s">
        <v>235</v>
      </c>
      <c r="EO29" s="16" t="s">
        <v>30</v>
      </c>
      <c r="EP29" s="16" t="s">
        <v>235</v>
      </c>
      <c r="EQ29" s="16" t="s">
        <v>30</v>
      </c>
      <c r="ER29" s="16" t="s">
        <v>235</v>
      </c>
      <c r="ES29" s="16" t="s">
        <v>30</v>
      </c>
      <c r="ET29" s="16" t="s">
        <v>235</v>
      </c>
      <c r="EU29" s="16" t="s">
        <v>30</v>
      </c>
      <c r="EV29" s="16" t="s">
        <v>235</v>
      </c>
      <c r="EW29" s="16" t="s">
        <v>30</v>
      </c>
      <c r="EX29" s="16" t="s">
        <v>235</v>
      </c>
      <c r="EY29" s="16" t="s">
        <v>30</v>
      </c>
      <c r="EZ29" s="16" t="s">
        <v>235</v>
      </c>
      <c r="FA29" s="16" t="s">
        <v>30</v>
      </c>
      <c r="FB29" s="16" t="s">
        <v>235</v>
      </c>
      <c r="FC29" s="16" t="s">
        <v>30</v>
      </c>
      <c r="FD29" s="16" t="s">
        <v>235</v>
      </c>
      <c r="FE29" s="16" t="s">
        <v>30</v>
      </c>
      <c r="FF29" s="16" t="s">
        <v>235</v>
      </c>
      <c r="FG29" s="16" t="s">
        <v>30</v>
      </c>
      <c r="FH29" s="16" t="s">
        <v>235</v>
      </c>
      <c r="FI29" s="16" t="s">
        <v>30</v>
      </c>
      <c r="FJ29" s="16" t="s">
        <v>235</v>
      </c>
      <c r="FK29" s="16" t="s">
        <v>30</v>
      </c>
      <c r="FL29" s="16" t="s">
        <v>235</v>
      </c>
      <c r="FM29" s="16" t="s">
        <v>30</v>
      </c>
      <c r="FN29" s="16" t="s">
        <v>235</v>
      </c>
      <c r="FO29" s="16" t="s">
        <v>30</v>
      </c>
      <c r="FP29" s="16" t="s">
        <v>235</v>
      </c>
      <c r="FQ29" s="16" t="s">
        <v>30</v>
      </c>
      <c r="FR29" s="16" t="s">
        <v>235</v>
      </c>
      <c r="FS29" s="16" t="s">
        <v>30</v>
      </c>
      <c r="FT29" s="16" t="s">
        <v>235</v>
      </c>
      <c r="FU29" s="16" t="s">
        <v>30</v>
      </c>
      <c r="FV29" s="16" t="s">
        <v>235</v>
      </c>
      <c r="FW29" s="16" t="s">
        <v>30</v>
      </c>
      <c r="FX29" s="16" t="s">
        <v>235</v>
      </c>
      <c r="FY29" s="16" t="s">
        <v>30</v>
      </c>
      <c r="FZ29" s="16" t="s">
        <v>235</v>
      </c>
      <c r="GA29" s="16" t="s">
        <v>30</v>
      </c>
      <c r="GB29" s="16" t="s">
        <v>235</v>
      </c>
      <c r="GC29" s="16" t="s">
        <v>30</v>
      </c>
      <c r="GD29" s="16" t="s">
        <v>235</v>
      </c>
      <c r="GE29" s="16" t="s">
        <v>30</v>
      </c>
      <c r="GF29" s="16" t="s">
        <v>235</v>
      </c>
      <c r="GG29" s="16" t="s">
        <v>30</v>
      </c>
      <c r="GH29" s="16" t="s">
        <v>235</v>
      </c>
      <c r="GI29" s="16" t="s">
        <v>30</v>
      </c>
      <c r="GJ29" s="16" t="s">
        <v>235</v>
      </c>
      <c r="GK29" s="16" t="s">
        <v>30</v>
      </c>
      <c r="GL29" s="16" t="s">
        <v>235</v>
      </c>
      <c r="GM29" s="16" t="s">
        <v>30</v>
      </c>
      <c r="GN29" s="16" t="s">
        <v>235</v>
      </c>
      <c r="GO29" s="16" t="s">
        <v>30</v>
      </c>
      <c r="GP29" s="16" t="s">
        <v>235</v>
      </c>
      <c r="GQ29" s="16" t="s">
        <v>30</v>
      </c>
      <c r="GR29" s="16" t="s">
        <v>235</v>
      </c>
      <c r="GS29" s="16" t="s">
        <v>30</v>
      </c>
      <c r="GT29" s="17">
        <v>1355.9</v>
      </c>
      <c r="GU29" s="16" t="s">
        <v>30</v>
      </c>
      <c r="GV29" s="18">
        <v>1505</v>
      </c>
      <c r="GW29" s="16" t="s">
        <v>30</v>
      </c>
      <c r="GX29" s="17">
        <v>1564.6</v>
      </c>
      <c r="GY29" s="16" t="s">
        <v>30</v>
      </c>
      <c r="GZ29" s="17">
        <v>1503.3</v>
      </c>
      <c r="HA29" s="16" t="s">
        <v>30</v>
      </c>
      <c r="HB29" s="17">
        <v>1363.5</v>
      </c>
      <c r="HC29" s="16" t="s">
        <v>30</v>
      </c>
      <c r="HD29" s="17">
        <v>1493.3</v>
      </c>
      <c r="HE29" s="16" t="s">
        <v>30</v>
      </c>
      <c r="HF29" s="17">
        <v>1559.3</v>
      </c>
      <c r="HG29" s="16" t="s">
        <v>30</v>
      </c>
      <c r="HH29" s="18">
        <v>1433</v>
      </c>
      <c r="HI29" s="16" t="s">
        <v>30</v>
      </c>
      <c r="HJ29" s="17">
        <v>1396.6</v>
      </c>
      <c r="HK29" s="16" t="s">
        <v>30</v>
      </c>
      <c r="HL29" s="17">
        <v>1517.3</v>
      </c>
      <c r="HM29" s="16" t="s">
        <v>30</v>
      </c>
      <c r="HN29" s="17">
        <v>1633.6</v>
      </c>
      <c r="HO29" s="16" t="s">
        <v>30</v>
      </c>
      <c r="HP29" s="17">
        <v>1508.9</v>
      </c>
      <c r="HQ29" s="16" t="s">
        <v>30</v>
      </c>
      <c r="HR29" s="17">
        <v>1462.6</v>
      </c>
      <c r="HS29" s="16" t="s">
        <v>30</v>
      </c>
      <c r="HT29" s="17">
        <v>1591.9</v>
      </c>
      <c r="HU29" s="16" t="s">
        <v>30</v>
      </c>
      <c r="HV29" s="17">
        <v>1694.9</v>
      </c>
      <c r="HW29" s="16" t="s">
        <v>30</v>
      </c>
      <c r="HX29" s="17">
        <v>1578.1</v>
      </c>
      <c r="HY29" s="16" t="s">
        <v>30</v>
      </c>
      <c r="HZ29" s="17">
        <v>1461.4</v>
      </c>
      <c r="IA29" s="16" t="s">
        <v>30</v>
      </c>
      <c r="IB29" s="17">
        <v>1567.6</v>
      </c>
      <c r="IC29" s="16" t="s">
        <v>30</v>
      </c>
      <c r="ID29" s="17">
        <v>1660.8</v>
      </c>
      <c r="IE29" s="16" t="s">
        <v>30</v>
      </c>
      <c r="IF29" s="17">
        <v>1571.9</v>
      </c>
      <c r="IG29" s="16" t="s">
        <v>30</v>
      </c>
      <c r="IH29" s="17">
        <v>1456.4</v>
      </c>
      <c r="II29" s="16" t="s">
        <v>30</v>
      </c>
      <c r="IJ29" s="17">
        <v>1580.2</v>
      </c>
      <c r="IK29" s="16" t="s">
        <v>30</v>
      </c>
      <c r="IL29" s="18">
        <v>1687</v>
      </c>
      <c r="IM29" s="16" t="s">
        <v>30</v>
      </c>
      <c r="IN29" s="17">
        <v>1580.1</v>
      </c>
      <c r="IO29" s="16" t="s">
        <v>30</v>
      </c>
      <c r="IP29" s="17">
        <v>1491.6</v>
      </c>
      <c r="IQ29" s="16" t="s">
        <v>30</v>
      </c>
      <c r="IR29" s="17">
        <v>1634.1</v>
      </c>
      <c r="IS29" s="16" t="s">
        <v>30</v>
      </c>
      <c r="IT29" s="17">
        <v>1735.7</v>
      </c>
      <c r="IU29" s="16" t="s">
        <v>30</v>
      </c>
      <c r="IV29" s="17">
        <v>1619.4</v>
      </c>
      <c r="IW29" s="16" t="s">
        <v>30</v>
      </c>
      <c r="IX29" s="18">
        <v>1607</v>
      </c>
      <c r="IY29" s="16" t="s">
        <v>30</v>
      </c>
      <c r="IZ29" s="17">
        <v>1724.7</v>
      </c>
      <c r="JA29" s="16" t="s">
        <v>30</v>
      </c>
      <c r="JB29" s="17">
        <v>1825.5</v>
      </c>
      <c r="JC29" s="16" t="s">
        <v>30</v>
      </c>
      <c r="JD29" s="17">
        <v>1684.8</v>
      </c>
      <c r="JE29" s="16" t="s">
        <v>30</v>
      </c>
      <c r="JF29" s="17">
        <v>1708.2</v>
      </c>
      <c r="JG29" s="16" t="s">
        <v>30</v>
      </c>
      <c r="JH29" s="17">
        <v>1817.4</v>
      </c>
      <c r="JI29" s="16" t="s">
        <v>30</v>
      </c>
      <c r="JJ29" s="17">
        <v>1883.4</v>
      </c>
      <c r="JK29" s="16" t="s">
        <v>30</v>
      </c>
      <c r="JL29" s="17">
        <v>1775.8</v>
      </c>
      <c r="JM29" s="16" t="s">
        <v>30</v>
      </c>
      <c r="JN29" s="17">
        <v>1709.9</v>
      </c>
      <c r="JO29" s="16" t="s">
        <v>30</v>
      </c>
      <c r="JP29" s="17">
        <v>1794.6</v>
      </c>
      <c r="JQ29" s="16" t="s">
        <v>30</v>
      </c>
      <c r="JR29" s="17">
        <v>1908.2</v>
      </c>
      <c r="JS29" s="16" t="s">
        <v>30</v>
      </c>
      <c r="JT29" s="17">
        <v>1812.2</v>
      </c>
      <c r="JU29" s="16" t="s">
        <v>30</v>
      </c>
      <c r="JV29" s="17">
        <v>1824.7</v>
      </c>
      <c r="JW29" s="16" t="s">
        <v>30</v>
      </c>
      <c r="JX29" s="17">
        <v>1908.7</v>
      </c>
      <c r="JY29" s="16" t="s">
        <v>30</v>
      </c>
      <c r="JZ29" s="17">
        <v>2020.6</v>
      </c>
      <c r="KA29" s="16" t="s">
        <v>30</v>
      </c>
      <c r="KB29" s="17">
        <v>1886.9</v>
      </c>
      <c r="KC29" s="16" t="s">
        <v>30</v>
      </c>
      <c r="KD29" s="17">
        <v>1838.4</v>
      </c>
      <c r="KE29" s="16" t="s">
        <v>30</v>
      </c>
      <c r="KF29" s="17">
        <v>1885.4</v>
      </c>
      <c r="KG29" s="16" t="s">
        <v>30</v>
      </c>
      <c r="KH29" s="17">
        <v>1961.1</v>
      </c>
      <c r="KI29" s="16" t="s">
        <v>30</v>
      </c>
      <c r="KJ29" s="17">
        <v>1886.6</v>
      </c>
      <c r="KK29" s="16" t="s">
        <v>30</v>
      </c>
      <c r="KL29" s="17">
        <v>1870.7</v>
      </c>
      <c r="KM29" s="16" t="s">
        <v>30</v>
      </c>
      <c r="KN29" s="17">
        <v>1989.1</v>
      </c>
      <c r="KO29" s="16" t="s">
        <v>30</v>
      </c>
      <c r="KP29" s="17">
        <v>2080.3000000000002</v>
      </c>
      <c r="KQ29" s="16" t="s">
        <v>30</v>
      </c>
      <c r="KR29" s="18">
        <v>1993</v>
      </c>
      <c r="KS29" s="16" t="s">
        <v>30</v>
      </c>
      <c r="KT29" s="17">
        <v>2040.9</v>
      </c>
      <c r="KU29" s="16" t="s">
        <v>30</v>
      </c>
      <c r="KV29" s="17">
        <v>2134.8000000000002</v>
      </c>
      <c r="KW29" s="16" t="s">
        <v>30</v>
      </c>
      <c r="KX29" s="17">
        <v>2236.4</v>
      </c>
      <c r="KY29" s="16" t="s">
        <v>30</v>
      </c>
      <c r="KZ29" s="17">
        <v>2134.9</v>
      </c>
      <c r="LA29" s="16" t="s">
        <v>30</v>
      </c>
      <c r="LB29" s="17">
        <v>2210.3000000000002</v>
      </c>
      <c r="LC29" s="16" t="s">
        <v>30</v>
      </c>
      <c r="LD29" s="17">
        <v>2313.9</v>
      </c>
      <c r="LE29" s="16" t="s">
        <v>30</v>
      </c>
      <c r="LF29" s="17">
        <v>2438.6999999999998</v>
      </c>
      <c r="LG29" s="16" t="s">
        <v>30</v>
      </c>
      <c r="LH29" s="18">
        <v>2364</v>
      </c>
      <c r="LI29" s="16" t="s">
        <v>30</v>
      </c>
      <c r="LJ29" s="17">
        <v>2377.5</v>
      </c>
      <c r="LK29" s="16" t="s">
        <v>30</v>
      </c>
      <c r="LL29" s="17">
        <v>2559.1999999999998</v>
      </c>
      <c r="LM29" s="16" t="s">
        <v>30</v>
      </c>
      <c r="LN29" s="17">
        <v>2694.9</v>
      </c>
      <c r="LO29" s="16" t="s">
        <v>30</v>
      </c>
      <c r="LP29" s="17">
        <v>2546.9</v>
      </c>
      <c r="LQ29" s="16" t="s">
        <v>30</v>
      </c>
      <c r="LR29" s="17">
        <v>2517.1</v>
      </c>
      <c r="LS29" s="16" t="s">
        <v>30</v>
      </c>
      <c r="LT29" s="17">
        <v>2651.4</v>
      </c>
      <c r="LU29" s="16" t="s">
        <v>30</v>
      </c>
      <c r="LV29" s="17">
        <v>2795.9</v>
      </c>
      <c r="LW29" s="16" t="s">
        <v>30</v>
      </c>
      <c r="LX29" s="17">
        <v>2637.2</v>
      </c>
      <c r="LY29" s="16" t="s">
        <v>30</v>
      </c>
      <c r="LZ29" s="17">
        <v>2863.5</v>
      </c>
      <c r="MA29" s="16" t="s">
        <v>30</v>
      </c>
      <c r="MB29" s="17">
        <v>3004.4</v>
      </c>
      <c r="MC29" s="16" t="s">
        <v>30</v>
      </c>
      <c r="MD29" s="17">
        <v>3112.1</v>
      </c>
      <c r="ME29" s="16" t="s">
        <v>30</v>
      </c>
      <c r="MF29" s="17">
        <v>3015.9</v>
      </c>
      <c r="MG29" s="16" t="s">
        <v>30</v>
      </c>
      <c r="MH29" s="17">
        <v>3036.2</v>
      </c>
      <c r="MI29" s="16" t="s">
        <v>30</v>
      </c>
      <c r="MJ29" s="18">
        <v>3246</v>
      </c>
      <c r="MK29" s="16" t="s">
        <v>30</v>
      </c>
      <c r="ML29" s="17">
        <v>3369.7</v>
      </c>
      <c r="MM29" s="16" t="s">
        <v>30</v>
      </c>
      <c r="MN29" s="17">
        <v>3238.6</v>
      </c>
      <c r="MO29" s="16" t="s">
        <v>30</v>
      </c>
      <c r="MP29" s="17">
        <v>3196.4</v>
      </c>
      <c r="MQ29" s="16" t="s">
        <v>30</v>
      </c>
      <c r="MR29" s="17">
        <v>3363.8</v>
      </c>
      <c r="MS29" s="16" t="s">
        <v>30</v>
      </c>
      <c r="MT29" s="17">
        <v>3477.1</v>
      </c>
      <c r="MU29" s="16" t="s">
        <v>30</v>
      </c>
      <c r="MV29" s="17">
        <v>3393.1</v>
      </c>
      <c r="MW29" s="16" t="s">
        <v>30</v>
      </c>
      <c r="MX29" s="17">
        <v>3455.4</v>
      </c>
      <c r="MY29" s="16" t="s">
        <v>30</v>
      </c>
      <c r="MZ29" s="17">
        <v>3099.7</v>
      </c>
      <c r="NA29" s="16" t="s">
        <v>30</v>
      </c>
      <c r="NB29" s="17">
        <v>3323.2</v>
      </c>
      <c r="NC29" s="16" t="s">
        <v>30</v>
      </c>
      <c r="ND29" s="17">
        <v>3271.4</v>
      </c>
      <c r="NE29" s="16" t="s">
        <v>30</v>
      </c>
      <c r="NF29" s="17">
        <v>3510.6</v>
      </c>
      <c r="NG29" s="16" t="s">
        <v>30</v>
      </c>
      <c r="NH29" s="17">
        <v>3630.1</v>
      </c>
      <c r="NI29" s="16" t="s">
        <v>30</v>
      </c>
      <c r="NJ29" s="17">
        <v>3912.6</v>
      </c>
      <c r="NK29" s="16" t="s">
        <v>30</v>
      </c>
      <c r="NL29" s="17">
        <v>3800.2</v>
      </c>
      <c r="NM29" s="16" t="s">
        <v>30</v>
      </c>
      <c r="NN29" s="17">
        <v>3630.5</v>
      </c>
      <c r="NO29" s="16" t="s">
        <v>30</v>
      </c>
      <c r="NP29" s="17">
        <v>3795.5</v>
      </c>
      <c r="NQ29" s="16" t="s">
        <v>30</v>
      </c>
      <c r="NR29" s="17">
        <v>4024.3</v>
      </c>
      <c r="NS29" s="16" t="s">
        <v>30</v>
      </c>
      <c r="NT29" s="17">
        <v>3960.8</v>
      </c>
      <c r="NU29" s="16" t="s">
        <v>30</v>
      </c>
      <c r="NV29" s="17">
        <v>3971.7</v>
      </c>
      <c r="NW29" s="16" t="s">
        <v>30</v>
      </c>
      <c r="NX29" s="17">
        <v>4189.8</v>
      </c>
      <c r="NY29" s="16" t="s">
        <v>30</v>
      </c>
      <c r="NZ29" s="17">
        <v>4310.8999999999996</v>
      </c>
      <c r="OA29" s="16" t="s">
        <v>30</v>
      </c>
      <c r="OB29" s="17">
        <v>4348.3999999999996</v>
      </c>
      <c r="OC29" s="16" t="s">
        <v>30</v>
      </c>
      <c r="OD29" s="17">
        <v>4206.2</v>
      </c>
      <c r="OE29" s="16" t="s">
        <v>30</v>
      </c>
      <c r="OF29" s="17">
        <v>4428.7</v>
      </c>
      <c r="OG29" s="16" t="s">
        <v>30</v>
      </c>
      <c r="OH29" s="17">
        <v>4539.3999999999996</v>
      </c>
      <c r="OI29" s="16" t="s">
        <v>30</v>
      </c>
      <c r="OJ29" s="17">
        <v>4506.1000000000004</v>
      </c>
      <c r="OK29" s="16" t="s">
        <v>30</v>
      </c>
      <c r="OL29" s="17">
        <v>4406.8999999999996</v>
      </c>
      <c r="OM29" s="16" t="s">
        <v>30</v>
      </c>
      <c r="ON29" s="17">
        <v>4597.6000000000004</v>
      </c>
      <c r="OO29" s="16" t="s">
        <v>30</v>
      </c>
      <c r="OP29" s="16" t="s">
        <v>235</v>
      </c>
      <c r="OQ29" s="16" t="s">
        <v>30</v>
      </c>
    </row>
    <row r="30" spans="1:407" x14ac:dyDescent="0.3">
      <c r="A30" s="12" t="s">
        <v>255</v>
      </c>
      <c r="B30" s="13" t="s">
        <v>235</v>
      </c>
      <c r="C30" s="13" t="s">
        <v>30</v>
      </c>
      <c r="D30" s="13" t="s">
        <v>235</v>
      </c>
      <c r="E30" s="13" t="s">
        <v>30</v>
      </c>
      <c r="F30" s="13" t="s">
        <v>235</v>
      </c>
      <c r="G30" s="13" t="s">
        <v>30</v>
      </c>
      <c r="H30" s="13" t="s">
        <v>235</v>
      </c>
      <c r="I30" s="13" t="s">
        <v>30</v>
      </c>
      <c r="J30" s="13" t="s">
        <v>235</v>
      </c>
      <c r="K30" s="13" t="s">
        <v>30</v>
      </c>
      <c r="L30" s="13" t="s">
        <v>235</v>
      </c>
      <c r="M30" s="13" t="s">
        <v>30</v>
      </c>
      <c r="N30" s="13" t="s">
        <v>235</v>
      </c>
      <c r="O30" s="13" t="s">
        <v>30</v>
      </c>
      <c r="P30" s="13" t="s">
        <v>235</v>
      </c>
      <c r="Q30" s="13" t="s">
        <v>30</v>
      </c>
      <c r="R30" s="13" t="s">
        <v>235</v>
      </c>
      <c r="S30" s="13" t="s">
        <v>30</v>
      </c>
      <c r="T30" s="13" t="s">
        <v>235</v>
      </c>
      <c r="U30" s="13" t="s">
        <v>30</v>
      </c>
      <c r="V30" s="13" t="s">
        <v>235</v>
      </c>
      <c r="W30" s="13" t="s">
        <v>30</v>
      </c>
      <c r="X30" s="13" t="s">
        <v>235</v>
      </c>
      <c r="Y30" s="13" t="s">
        <v>30</v>
      </c>
      <c r="Z30" s="13" t="s">
        <v>235</v>
      </c>
      <c r="AA30" s="13" t="s">
        <v>30</v>
      </c>
      <c r="AB30" s="13" t="s">
        <v>235</v>
      </c>
      <c r="AC30" s="13" t="s">
        <v>30</v>
      </c>
      <c r="AD30" s="13" t="s">
        <v>235</v>
      </c>
      <c r="AE30" s="13" t="s">
        <v>30</v>
      </c>
      <c r="AF30" s="13" t="s">
        <v>235</v>
      </c>
      <c r="AG30" s="13" t="s">
        <v>30</v>
      </c>
      <c r="AH30" s="13" t="s">
        <v>235</v>
      </c>
      <c r="AI30" s="13" t="s">
        <v>30</v>
      </c>
      <c r="AJ30" s="13" t="s">
        <v>235</v>
      </c>
      <c r="AK30" s="13" t="s">
        <v>30</v>
      </c>
      <c r="AL30" s="13" t="s">
        <v>235</v>
      </c>
      <c r="AM30" s="13" t="s">
        <v>30</v>
      </c>
      <c r="AN30" s="13" t="s">
        <v>235</v>
      </c>
      <c r="AO30" s="13" t="s">
        <v>30</v>
      </c>
      <c r="AP30" s="13" t="s">
        <v>235</v>
      </c>
      <c r="AQ30" s="13" t="s">
        <v>30</v>
      </c>
      <c r="AR30" s="13" t="s">
        <v>235</v>
      </c>
      <c r="AS30" s="13" t="s">
        <v>30</v>
      </c>
      <c r="AT30" s="13" t="s">
        <v>235</v>
      </c>
      <c r="AU30" s="13" t="s">
        <v>30</v>
      </c>
      <c r="AV30" s="13" t="s">
        <v>235</v>
      </c>
      <c r="AW30" s="13" t="s">
        <v>30</v>
      </c>
      <c r="AX30" s="13" t="s">
        <v>235</v>
      </c>
      <c r="AY30" s="13" t="s">
        <v>30</v>
      </c>
      <c r="AZ30" s="13" t="s">
        <v>235</v>
      </c>
      <c r="BA30" s="13" t="s">
        <v>30</v>
      </c>
      <c r="BB30" s="13" t="s">
        <v>235</v>
      </c>
      <c r="BC30" s="13" t="s">
        <v>30</v>
      </c>
      <c r="BD30" s="13" t="s">
        <v>235</v>
      </c>
      <c r="BE30" s="13" t="s">
        <v>30</v>
      </c>
      <c r="BF30" s="13" t="s">
        <v>235</v>
      </c>
      <c r="BG30" s="13" t="s">
        <v>30</v>
      </c>
      <c r="BH30" s="13" t="s">
        <v>235</v>
      </c>
      <c r="BI30" s="13" t="s">
        <v>30</v>
      </c>
      <c r="BJ30" s="13" t="s">
        <v>235</v>
      </c>
      <c r="BK30" s="13" t="s">
        <v>30</v>
      </c>
      <c r="BL30" s="13" t="s">
        <v>235</v>
      </c>
      <c r="BM30" s="13" t="s">
        <v>30</v>
      </c>
      <c r="BN30" s="13" t="s">
        <v>235</v>
      </c>
      <c r="BO30" s="13" t="s">
        <v>30</v>
      </c>
      <c r="BP30" s="13" t="s">
        <v>235</v>
      </c>
      <c r="BQ30" s="13" t="s">
        <v>30</v>
      </c>
      <c r="BR30" s="13" t="s">
        <v>235</v>
      </c>
      <c r="BS30" s="13" t="s">
        <v>30</v>
      </c>
      <c r="BT30" s="13" t="s">
        <v>235</v>
      </c>
      <c r="BU30" s="13" t="s">
        <v>30</v>
      </c>
      <c r="BV30" s="13" t="s">
        <v>235</v>
      </c>
      <c r="BW30" s="13" t="s">
        <v>30</v>
      </c>
      <c r="BX30" s="13" t="s">
        <v>235</v>
      </c>
      <c r="BY30" s="13" t="s">
        <v>30</v>
      </c>
      <c r="BZ30" s="13" t="s">
        <v>235</v>
      </c>
      <c r="CA30" s="13" t="s">
        <v>30</v>
      </c>
      <c r="CB30" s="13" t="s">
        <v>235</v>
      </c>
      <c r="CC30" s="13" t="s">
        <v>30</v>
      </c>
      <c r="CD30" s="13" t="s">
        <v>235</v>
      </c>
      <c r="CE30" s="13" t="s">
        <v>30</v>
      </c>
      <c r="CF30" s="13" t="s">
        <v>235</v>
      </c>
      <c r="CG30" s="13" t="s">
        <v>30</v>
      </c>
      <c r="CH30" s="13" t="s">
        <v>235</v>
      </c>
      <c r="CI30" s="13" t="s">
        <v>30</v>
      </c>
      <c r="CJ30" s="13" t="s">
        <v>235</v>
      </c>
      <c r="CK30" s="13" t="s">
        <v>30</v>
      </c>
      <c r="CL30" s="13" t="s">
        <v>235</v>
      </c>
      <c r="CM30" s="13" t="s">
        <v>30</v>
      </c>
      <c r="CN30" s="13" t="s">
        <v>235</v>
      </c>
      <c r="CO30" s="13" t="s">
        <v>30</v>
      </c>
      <c r="CP30" s="13" t="s">
        <v>235</v>
      </c>
      <c r="CQ30" s="13" t="s">
        <v>30</v>
      </c>
      <c r="CR30" s="13" t="s">
        <v>235</v>
      </c>
      <c r="CS30" s="13" t="s">
        <v>30</v>
      </c>
      <c r="CT30" s="13" t="s">
        <v>235</v>
      </c>
      <c r="CU30" s="13" t="s">
        <v>30</v>
      </c>
      <c r="CV30" s="13" t="s">
        <v>235</v>
      </c>
      <c r="CW30" s="13" t="s">
        <v>30</v>
      </c>
      <c r="CX30" s="13" t="s">
        <v>235</v>
      </c>
      <c r="CY30" s="13" t="s">
        <v>30</v>
      </c>
      <c r="CZ30" s="13" t="s">
        <v>235</v>
      </c>
      <c r="DA30" s="13" t="s">
        <v>30</v>
      </c>
      <c r="DB30" s="13" t="s">
        <v>235</v>
      </c>
      <c r="DC30" s="13" t="s">
        <v>30</v>
      </c>
      <c r="DD30" s="13" t="s">
        <v>235</v>
      </c>
      <c r="DE30" s="13" t="s">
        <v>30</v>
      </c>
      <c r="DF30" s="13" t="s">
        <v>235</v>
      </c>
      <c r="DG30" s="13" t="s">
        <v>30</v>
      </c>
      <c r="DH30" s="13" t="s">
        <v>235</v>
      </c>
      <c r="DI30" s="13" t="s">
        <v>30</v>
      </c>
      <c r="DJ30" s="13" t="s">
        <v>235</v>
      </c>
      <c r="DK30" s="13" t="s">
        <v>30</v>
      </c>
      <c r="DL30" s="13" t="s">
        <v>235</v>
      </c>
      <c r="DM30" s="13" t="s">
        <v>30</v>
      </c>
      <c r="DN30" s="13" t="s">
        <v>235</v>
      </c>
      <c r="DO30" s="13" t="s">
        <v>30</v>
      </c>
      <c r="DP30" s="13" t="s">
        <v>235</v>
      </c>
      <c r="DQ30" s="13" t="s">
        <v>30</v>
      </c>
      <c r="DR30" s="13" t="s">
        <v>235</v>
      </c>
      <c r="DS30" s="13" t="s">
        <v>30</v>
      </c>
      <c r="DT30" s="13" t="s">
        <v>235</v>
      </c>
      <c r="DU30" s="13" t="s">
        <v>30</v>
      </c>
      <c r="DV30" s="13" t="s">
        <v>235</v>
      </c>
      <c r="DW30" s="13" t="s">
        <v>30</v>
      </c>
      <c r="DX30" s="13" t="s">
        <v>235</v>
      </c>
      <c r="DY30" s="13" t="s">
        <v>30</v>
      </c>
      <c r="DZ30" s="13" t="s">
        <v>235</v>
      </c>
      <c r="EA30" s="13" t="s">
        <v>30</v>
      </c>
      <c r="EB30" s="13" t="s">
        <v>235</v>
      </c>
      <c r="EC30" s="13" t="s">
        <v>30</v>
      </c>
      <c r="ED30" s="13" t="s">
        <v>235</v>
      </c>
      <c r="EE30" s="13" t="s">
        <v>30</v>
      </c>
      <c r="EF30" s="13" t="s">
        <v>235</v>
      </c>
      <c r="EG30" s="13" t="s">
        <v>30</v>
      </c>
      <c r="EH30" s="13" t="s">
        <v>235</v>
      </c>
      <c r="EI30" s="13" t="s">
        <v>30</v>
      </c>
      <c r="EJ30" s="13" t="s">
        <v>235</v>
      </c>
      <c r="EK30" s="13" t="s">
        <v>30</v>
      </c>
      <c r="EL30" s="13" t="s">
        <v>235</v>
      </c>
      <c r="EM30" s="13" t="s">
        <v>30</v>
      </c>
      <c r="EN30" s="13" t="s">
        <v>235</v>
      </c>
      <c r="EO30" s="13" t="s">
        <v>30</v>
      </c>
      <c r="EP30" s="13" t="s">
        <v>235</v>
      </c>
      <c r="EQ30" s="13" t="s">
        <v>30</v>
      </c>
      <c r="ER30" s="13" t="s">
        <v>235</v>
      </c>
      <c r="ES30" s="13" t="s">
        <v>30</v>
      </c>
      <c r="ET30" s="13" t="s">
        <v>235</v>
      </c>
      <c r="EU30" s="13" t="s">
        <v>30</v>
      </c>
      <c r="EV30" s="13" t="s">
        <v>235</v>
      </c>
      <c r="EW30" s="13" t="s">
        <v>30</v>
      </c>
      <c r="EX30" s="13" t="s">
        <v>235</v>
      </c>
      <c r="EY30" s="13" t="s">
        <v>30</v>
      </c>
      <c r="EZ30" s="13" t="s">
        <v>235</v>
      </c>
      <c r="FA30" s="13" t="s">
        <v>30</v>
      </c>
      <c r="FB30" s="13" t="s">
        <v>235</v>
      </c>
      <c r="FC30" s="13" t="s">
        <v>30</v>
      </c>
      <c r="FD30" s="13" t="s">
        <v>235</v>
      </c>
      <c r="FE30" s="13" t="s">
        <v>30</v>
      </c>
      <c r="FF30" s="14">
        <v>113443.9</v>
      </c>
      <c r="FG30" s="13" t="s">
        <v>30</v>
      </c>
      <c r="FH30" s="14">
        <v>115660.6</v>
      </c>
      <c r="FI30" s="13" t="s">
        <v>30</v>
      </c>
      <c r="FJ30" s="14">
        <v>111132.4</v>
      </c>
      <c r="FK30" s="13" t="s">
        <v>30</v>
      </c>
      <c r="FL30" s="14">
        <v>117687.8</v>
      </c>
      <c r="FM30" s="13" t="s">
        <v>30</v>
      </c>
      <c r="FN30" s="14">
        <v>115777.1</v>
      </c>
      <c r="FO30" s="13" t="s">
        <v>30</v>
      </c>
      <c r="FP30" s="14">
        <v>119729.7</v>
      </c>
      <c r="FQ30" s="13" t="s">
        <v>30</v>
      </c>
      <c r="FR30" s="14">
        <v>115294.3</v>
      </c>
      <c r="FS30" s="13" t="s">
        <v>30</v>
      </c>
      <c r="FT30" s="14">
        <v>121397.8</v>
      </c>
      <c r="FU30" s="13" t="s">
        <v>30</v>
      </c>
      <c r="FV30" s="14">
        <v>120169.9</v>
      </c>
      <c r="FW30" s="13" t="s">
        <v>30</v>
      </c>
      <c r="FX30" s="14">
        <v>124909.6</v>
      </c>
      <c r="FY30" s="13" t="s">
        <v>30</v>
      </c>
      <c r="FZ30" s="14">
        <v>120532.2</v>
      </c>
      <c r="GA30" s="13" t="s">
        <v>30</v>
      </c>
      <c r="GB30" s="14">
        <v>127262.2</v>
      </c>
      <c r="GC30" s="13" t="s">
        <v>30</v>
      </c>
      <c r="GD30" s="14">
        <v>127198.1</v>
      </c>
      <c r="GE30" s="13" t="s">
        <v>30</v>
      </c>
      <c r="GF30" s="14">
        <v>130769.4</v>
      </c>
      <c r="GG30" s="13" t="s">
        <v>30</v>
      </c>
      <c r="GH30" s="14">
        <v>125353.3</v>
      </c>
      <c r="GI30" s="13" t="s">
        <v>30</v>
      </c>
      <c r="GJ30" s="14">
        <v>132268.4</v>
      </c>
      <c r="GK30" s="13" t="s">
        <v>30</v>
      </c>
      <c r="GL30" s="14">
        <v>132397.79999999999</v>
      </c>
      <c r="GM30" s="13" t="s">
        <v>30</v>
      </c>
      <c r="GN30" s="15">
        <v>136262</v>
      </c>
      <c r="GO30" s="13" t="s">
        <v>30</v>
      </c>
      <c r="GP30" s="14">
        <v>131437.70000000001</v>
      </c>
      <c r="GQ30" s="13" t="s">
        <v>30</v>
      </c>
      <c r="GR30" s="14">
        <v>140093.6</v>
      </c>
      <c r="GS30" s="13" t="s">
        <v>30</v>
      </c>
      <c r="GT30" s="14">
        <v>139324.79999999999</v>
      </c>
      <c r="GU30" s="13" t="s">
        <v>30</v>
      </c>
      <c r="GV30" s="14">
        <v>142718.6</v>
      </c>
      <c r="GW30" s="13" t="s">
        <v>30</v>
      </c>
      <c r="GX30" s="14">
        <v>137743.6</v>
      </c>
      <c r="GY30" s="13" t="s">
        <v>30</v>
      </c>
      <c r="GZ30" s="14">
        <v>144401.1</v>
      </c>
      <c r="HA30" s="13" t="s">
        <v>30</v>
      </c>
      <c r="HB30" s="14">
        <v>143587.79999999999</v>
      </c>
      <c r="HC30" s="13" t="s">
        <v>30</v>
      </c>
      <c r="HD30" s="14">
        <v>147001.29999999999</v>
      </c>
      <c r="HE30" s="13" t="s">
        <v>30</v>
      </c>
      <c r="HF30" s="14">
        <v>140647.70000000001</v>
      </c>
      <c r="HG30" s="13" t="s">
        <v>30</v>
      </c>
      <c r="HH30" s="14">
        <v>146257.79999999999</v>
      </c>
      <c r="HI30" s="13" t="s">
        <v>30</v>
      </c>
      <c r="HJ30" s="14">
        <v>143080.79999999999</v>
      </c>
      <c r="HK30" s="13" t="s">
        <v>30</v>
      </c>
      <c r="HL30" s="15">
        <v>147528</v>
      </c>
      <c r="HM30" s="13" t="s">
        <v>30</v>
      </c>
      <c r="HN30" s="15">
        <v>142021</v>
      </c>
      <c r="HO30" s="13" t="s">
        <v>30</v>
      </c>
      <c r="HP30" s="14">
        <v>146128.1</v>
      </c>
      <c r="HQ30" s="13" t="s">
        <v>30</v>
      </c>
      <c r="HR30" s="14">
        <v>144471.1</v>
      </c>
      <c r="HS30" s="13" t="s">
        <v>30</v>
      </c>
      <c r="HT30" s="14">
        <v>146731.79999999999</v>
      </c>
      <c r="HU30" s="13" t="s">
        <v>30</v>
      </c>
      <c r="HV30" s="15">
        <v>141161</v>
      </c>
      <c r="HW30" s="13" t="s">
        <v>30</v>
      </c>
      <c r="HX30" s="14">
        <v>146737.9</v>
      </c>
      <c r="HY30" s="13" t="s">
        <v>30</v>
      </c>
      <c r="HZ30" s="14">
        <v>146556.5</v>
      </c>
      <c r="IA30" s="13" t="s">
        <v>30</v>
      </c>
      <c r="IB30" s="14">
        <v>149607.29999999999</v>
      </c>
      <c r="IC30" s="13" t="s">
        <v>30</v>
      </c>
      <c r="ID30" s="14">
        <v>144737.79999999999</v>
      </c>
      <c r="IE30" s="13" t="s">
        <v>30</v>
      </c>
      <c r="IF30" s="14">
        <v>150383.5</v>
      </c>
      <c r="IG30" s="13" t="s">
        <v>30</v>
      </c>
      <c r="IH30" s="14">
        <v>148129.70000000001</v>
      </c>
      <c r="II30" s="13" t="s">
        <v>30</v>
      </c>
      <c r="IJ30" s="14">
        <v>153333.79999999999</v>
      </c>
      <c r="IK30" s="13" t="s">
        <v>30</v>
      </c>
      <c r="IL30" s="14">
        <v>148128.79999999999</v>
      </c>
      <c r="IM30" s="13" t="s">
        <v>30</v>
      </c>
      <c r="IN30" s="14">
        <v>153925.9</v>
      </c>
      <c r="IO30" s="13" t="s">
        <v>30</v>
      </c>
      <c r="IP30" s="15">
        <v>153515</v>
      </c>
      <c r="IQ30" s="13" t="s">
        <v>30</v>
      </c>
      <c r="IR30" s="14">
        <v>158759.20000000001</v>
      </c>
      <c r="IS30" s="13" t="s">
        <v>30</v>
      </c>
      <c r="IT30" s="14">
        <v>152943.5</v>
      </c>
      <c r="IU30" s="13" t="s">
        <v>30</v>
      </c>
      <c r="IV30" s="14">
        <v>159123.70000000001</v>
      </c>
      <c r="IW30" s="13" t="s">
        <v>30</v>
      </c>
      <c r="IX30" s="14">
        <v>158754.20000000001</v>
      </c>
      <c r="IY30" s="13" t="s">
        <v>30</v>
      </c>
      <c r="IZ30" s="14">
        <v>164190.79999999999</v>
      </c>
      <c r="JA30" s="13" t="s">
        <v>30</v>
      </c>
      <c r="JB30" s="14">
        <v>159778.29999999999</v>
      </c>
      <c r="JC30" s="13" t="s">
        <v>30</v>
      </c>
      <c r="JD30" s="14">
        <v>166465.79999999999</v>
      </c>
      <c r="JE30" s="13" t="s">
        <v>30</v>
      </c>
      <c r="JF30" s="14">
        <v>164725.9</v>
      </c>
      <c r="JG30" s="13" t="s">
        <v>30</v>
      </c>
      <c r="JH30" s="14">
        <v>170050.8</v>
      </c>
      <c r="JI30" s="13" t="s">
        <v>30</v>
      </c>
      <c r="JJ30" s="14">
        <v>164004.29999999999</v>
      </c>
      <c r="JK30" s="13" t="s">
        <v>30</v>
      </c>
      <c r="JL30" s="14">
        <v>166332.79999999999</v>
      </c>
      <c r="JM30" s="13" t="s">
        <v>30</v>
      </c>
      <c r="JN30" s="14">
        <v>158797.5</v>
      </c>
      <c r="JO30" s="13" t="s">
        <v>30</v>
      </c>
      <c r="JP30" s="14">
        <v>162842.5</v>
      </c>
      <c r="JQ30" s="13" t="s">
        <v>30</v>
      </c>
      <c r="JR30" s="14">
        <v>158223.6</v>
      </c>
      <c r="JS30" s="13" t="s">
        <v>30</v>
      </c>
      <c r="JT30" s="14">
        <v>163150.9</v>
      </c>
      <c r="JU30" s="13" t="s">
        <v>30</v>
      </c>
      <c r="JV30" s="14">
        <v>158856.79999999999</v>
      </c>
      <c r="JW30" s="13" t="s">
        <v>30</v>
      </c>
      <c r="JX30" s="15">
        <v>166284</v>
      </c>
      <c r="JY30" s="13" t="s">
        <v>30</v>
      </c>
      <c r="JZ30" s="14">
        <v>161006.1</v>
      </c>
      <c r="KA30" s="13" t="s">
        <v>30</v>
      </c>
      <c r="KB30" s="14">
        <v>166435.4</v>
      </c>
      <c r="KC30" s="13" t="s">
        <v>30</v>
      </c>
      <c r="KD30" s="14">
        <v>164113.4</v>
      </c>
      <c r="KE30" s="13" t="s">
        <v>30</v>
      </c>
      <c r="KF30" s="15">
        <v>170603</v>
      </c>
      <c r="KG30" s="13" t="s">
        <v>30</v>
      </c>
      <c r="KH30" s="14">
        <v>164255.29999999999</v>
      </c>
      <c r="KI30" s="13" t="s">
        <v>30</v>
      </c>
      <c r="KJ30" s="14">
        <v>167465.9</v>
      </c>
      <c r="KK30" s="13" t="s">
        <v>30</v>
      </c>
      <c r="KL30" s="14">
        <v>162675.9</v>
      </c>
      <c r="KM30" s="13" t="s">
        <v>30</v>
      </c>
      <c r="KN30" s="14">
        <v>170094.1</v>
      </c>
      <c r="KO30" s="13" t="s">
        <v>30</v>
      </c>
      <c r="KP30" s="14">
        <v>162488.20000000001</v>
      </c>
      <c r="KQ30" s="13" t="s">
        <v>30</v>
      </c>
      <c r="KR30" s="14">
        <v>166242.79999999999</v>
      </c>
      <c r="KS30" s="13" t="s">
        <v>30</v>
      </c>
      <c r="KT30" s="14">
        <v>160731.20000000001</v>
      </c>
      <c r="KU30" s="13" t="s">
        <v>30</v>
      </c>
      <c r="KV30" s="14">
        <v>170306.7</v>
      </c>
      <c r="KW30" s="13" t="s">
        <v>30</v>
      </c>
      <c r="KX30" s="14">
        <v>163662.29999999999</v>
      </c>
      <c r="KY30" s="13" t="s">
        <v>30</v>
      </c>
      <c r="KZ30" s="15">
        <v>169247</v>
      </c>
      <c r="LA30" s="13" t="s">
        <v>30</v>
      </c>
      <c r="LB30" s="15">
        <v>163396</v>
      </c>
      <c r="LC30" s="13" t="s">
        <v>30</v>
      </c>
      <c r="LD30" s="14">
        <v>172990.5</v>
      </c>
      <c r="LE30" s="13" t="s">
        <v>30</v>
      </c>
      <c r="LF30" s="14">
        <v>165871.1</v>
      </c>
      <c r="LG30" s="13" t="s">
        <v>30</v>
      </c>
      <c r="LH30" s="14">
        <v>172661.3</v>
      </c>
      <c r="LI30" s="13" t="s">
        <v>30</v>
      </c>
      <c r="LJ30" s="14">
        <v>166342.20000000001</v>
      </c>
      <c r="LK30" s="13" t="s">
        <v>30</v>
      </c>
      <c r="LL30" s="14">
        <v>176327.2</v>
      </c>
      <c r="LM30" s="13" t="s">
        <v>30</v>
      </c>
      <c r="LN30" s="14">
        <v>169955.9</v>
      </c>
      <c r="LO30" s="13" t="s">
        <v>30</v>
      </c>
      <c r="LP30" s="14">
        <v>175336.9</v>
      </c>
      <c r="LQ30" s="13" t="s">
        <v>30</v>
      </c>
      <c r="LR30" s="14">
        <v>169865.60000000001</v>
      </c>
      <c r="LS30" s="13" t="s">
        <v>30</v>
      </c>
      <c r="LT30" s="14">
        <v>180668.9</v>
      </c>
      <c r="LU30" s="13" t="s">
        <v>30</v>
      </c>
      <c r="LV30" s="14">
        <v>173693.6</v>
      </c>
      <c r="LW30" s="13" t="s">
        <v>30</v>
      </c>
      <c r="LX30" s="15">
        <v>179180</v>
      </c>
      <c r="LY30" s="13" t="s">
        <v>30</v>
      </c>
      <c r="LZ30" s="15">
        <v>175078</v>
      </c>
      <c r="MA30" s="13" t="s">
        <v>30</v>
      </c>
      <c r="MB30" s="14">
        <v>185815.2</v>
      </c>
      <c r="MC30" s="13" t="s">
        <v>30</v>
      </c>
      <c r="MD30" s="14">
        <v>178391.6</v>
      </c>
      <c r="ME30" s="13" t="s">
        <v>30</v>
      </c>
      <c r="MF30" s="14">
        <v>183728.6</v>
      </c>
      <c r="MG30" s="13" t="s">
        <v>30</v>
      </c>
      <c r="MH30" s="14">
        <v>179164.1</v>
      </c>
      <c r="MI30" s="13" t="s">
        <v>30</v>
      </c>
      <c r="MJ30" s="14">
        <v>190645.2</v>
      </c>
      <c r="MK30" s="13" t="s">
        <v>30</v>
      </c>
      <c r="ML30" s="14">
        <v>182038.1</v>
      </c>
      <c r="MM30" s="13" t="s">
        <v>30</v>
      </c>
      <c r="MN30" s="14">
        <v>187167.2</v>
      </c>
      <c r="MO30" s="13" t="s">
        <v>30</v>
      </c>
      <c r="MP30" s="14">
        <v>183519.5</v>
      </c>
      <c r="MQ30" s="13" t="s">
        <v>30</v>
      </c>
      <c r="MR30" s="14">
        <v>194996.4</v>
      </c>
      <c r="MS30" s="13" t="s">
        <v>30</v>
      </c>
      <c r="MT30" s="14">
        <v>186582.5</v>
      </c>
      <c r="MU30" s="13" t="s">
        <v>30</v>
      </c>
      <c r="MV30" s="14">
        <v>191583.3</v>
      </c>
      <c r="MW30" s="13" t="s">
        <v>30</v>
      </c>
      <c r="MX30" s="14">
        <v>183062.5</v>
      </c>
      <c r="MY30" s="13" t="s">
        <v>30</v>
      </c>
      <c r="MZ30" s="14">
        <v>177634.1</v>
      </c>
      <c r="NA30" s="13" t="s">
        <v>30</v>
      </c>
      <c r="NB30" s="14">
        <v>179525.1</v>
      </c>
      <c r="NC30" s="13" t="s">
        <v>30</v>
      </c>
      <c r="ND30" s="14">
        <v>185927.3</v>
      </c>
      <c r="NE30" s="13" t="s">
        <v>30</v>
      </c>
      <c r="NF30" s="14">
        <v>181050.5</v>
      </c>
      <c r="NG30" s="13" t="s">
        <v>30</v>
      </c>
      <c r="NH30" s="14">
        <v>199255.4</v>
      </c>
      <c r="NI30" s="13" t="s">
        <v>30</v>
      </c>
      <c r="NJ30" s="14">
        <v>193488.2</v>
      </c>
      <c r="NK30" s="13" t="s">
        <v>30</v>
      </c>
      <c r="NL30" s="14">
        <v>200908.1</v>
      </c>
      <c r="NM30" s="13" t="s">
        <v>30</v>
      </c>
      <c r="NN30" s="15">
        <v>195179</v>
      </c>
      <c r="NO30" s="13" t="s">
        <v>30</v>
      </c>
      <c r="NP30" s="14">
        <v>211448.4</v>
      </c>
      <c r="NQ30" s="13" t="s">
        <v>30</v>
      </c>
      <c r="NR30" s="14">
        <v>201785.8</v>
      </c>
      <c r="NS30" s="13" t="s">
        <v>30</v>
      </c>
      <c r="NT30" s="14">
        <v>210287.9</v>
      </c>
      <c r="NU30" s="13" t="s">
        <v>30</v>
      </c>
      <c r="NV30" s="14">
        <v>197680.1</v>
      </c>
      <c r="NW30" s="13" t="s">
        <v>30</v>
      </c>
      <c r="NX30" s="14">
        <v>209833.60000000001</v>
      </c>
      <c r="NY30" s="13" t="s">
        <v>30</v>
      </c>
      <c r="NZ30" s="14">
        <v>198819.4</v>
      </c>
      <c r="OA30" s="13" t="s">
        <v>30</v>
      </c>
      <c r="OB30" s="15">
        <v>207795</v>
      </c>
      <c r="OC30" s="13" t="s">
        <v>30</v>
      </c>
      <c r="OD30" s="14">
        <v>197194.9</v>
      </c>
      <c r="OE30" s="13" t="s">
        <v>30</v>
      </c>
      <c r="OF30" s="14">
        <v>211997.6</v>
      </c>
      <c r="OG30" s="13" t="s">
        <v>30</v>
      </c>
      <c r="OH30" s="14">
        <v>202171.4</v>
      </c>
      <c r="OI30" s="13" t="s">
        <v>30</v>
      </c>
      <c r="OJ30" s="14">
        <v>211687.8</v>
      </c>
      <c r="OK30" s="13" t="s">
        <v>30</v>
      </c>
      <c r="OL30" s="14">
        <v>201634.6</v>
      </c>
      <c r="OM30" s="13" t="s">
        <v>30</v>
      </c>
      <c r="ON30" s="14">
        <v>215735.1</v>
      </c>
      <c r="OO30" s="13" t="s">
        <v>30</v>
      </c>
      <c r="OP30" s="14">
        <v>205421.1</v>
      </c>
      <c r="OQ30" s="13" t="s">
        <v>30</v>
      </c>
    </row>
    <row r="31" spans="1:407" x14ac:dyDescent="0.3">
      <c r="A31" s="12" t="s">
        <v>256</v>
      </c>
      <c r="B31" s="16" t="s">
        <v>235</v>
      </c>
      <c r="C31" s="16" t="s">
        <v>30</v>
      </c>
      <c r="D31" s="16" t="s">
        <v>235</v>
      </c>
      <c r="E31" s="16" t="s">
        <v>30</v>
      </c>
      <c r="F31" s="16" t="s">
        <v>235</v>
      </c>
      <c r="G31" s="16" t="s">
        <v>30</v>
      </c>
      <c r="H31" s="16" t="s">
        <v>235</v>
      </c>
      <c r="I31" s="16" t="s">
        <v>30</v>
      </c>
      <c r="J31" s="16" t="s">
        <v>235</v>
      </c>
      <c r="K31" s="16" t="s">
        <v>30</v>
      </c>
      <c r="L31" s="16" t="s">
        <v>235</v>
      </c>
      <c r="M31" s="16" t="s">
        <v>30</v>
      </c>
      <c r="N31" s="16" t="s">
        <v>235</v>
      </c>
      <c r="O31" s="16" t="s">
        <v>30</v>
      </c>
      <c r="P31" s="16" t="s">
        <v>235</v>
      </c>
      <c r="Q31" s="16" t="s">
        <v>30</v>
      </c>
      <c r="R31" s="16" t="s">
        <v>235</v>
      </c>
      <c r="S31" s="16" t="s">
        <v>30</v>
      </c>
      <c r="T31" s="16" t="s">
        <v>235</v>
      </c>
      <c r="U31" s="16" t="s">
        <v>30</v>
      </c>
      <c r="V31" s="16" t="s">
        <v>235</v>
      </c>
      <c r="W31" s="16" t="s">
        <v>30</v>
      </c>
      <c r="X31" s="16" t="s">
        <v>235</v>
      </c>
      <c r="Y31" s="16" t="s">
        <v>30</v>
      </c>
      <c r="Z31" s="16" t="s">
        <v>235</v>
      </c>
      <c r="AA31" s="16" t="s">
        <v>30</v>
      </c>
      <c r="AB31" s="16" t="s">
        <v>235</v>
      </c>
      <c r="AC31" s="16" t="s">
        <v>30</v>
      </c>
      <c r="AD31" s="16" t="s">
        <v>235</v>
      </c>
      <c r="AE31" s="16" t="s">
        <v>30</v>
      </c>
      <c r="AF31" s="16" t="s">
        <v>235</v>
      </c>
      <c r="AG31" s="16" t="s">
        <v>30</v>
      </c>
      <c r="AH31" s="16" t="s">
        <v>235</v>
      </c>
      <c r="AI31" s="16" t="s">
        <v>30</v>
      </c>
      <c r="AJ31" s="16" t="s">
        <v>235</v>
      </c>
      <c r="AK31" s="16" t="s">
        <v>30</v>
      </c>
      <c r="AL31" s="16" t="s">
        <v>235</v>
      </c>
      <c r="AM31" s="16" t="s">
        <v>30</v>
      </c>
      <c r="AN31" s="16" t="s">
        <v>235</v>
      </c>
      <c r="AO31" s="16" t="s">
        <v>30</v>
      </c>
      <c r="AP31" s="16" t="s">
        <v>235</v>
      </c>
      <c r="AQ31" s="16" t="s">
        <v>30</v>
      </c>
      <c r="AR31" s="16" t="s">
        <v>235</v>
      </c>
      <c r="AS31" s="16" t="s">
        <v>30</v>
      </c>
      <c r="AT31" s="16" t="s">
        <v>235</v>
      </c>
      <c r="AU31" s="16" t="s">
        <v>30</v>
      </c>
      <c r="AV31" s="16" t="s">
        <v>235</v>
      </c>
      <c r="AW31" s="16" t="s">
        <v>30</v>
      </c>
      <c r="AX31" s="16" t="s">
        <v>235</v>
      </c>
      <c r="AY31" s="16" t="s">
        <v>30</v>
      </c>
      <c r="AZ31" s="16" t="s">
        <v>235</v>
      </c>
      <c r="BA31" s="16" t="s">
        <v>30</v>
      </c>
      <c r="BB31" s="16" t="s">
        <v>235</v>
      </c>
      <c r="BC31" s="16" t="s">
        <v>30</v>
      </c>
      <c r="BD31" s="16" t="s">
        <v>235</v>
      </c>
      <c r="BE31" s="16" t="s">
        <v>30</v>
      </c>
      <c r="BF31" s="16" t="s">
        <v>235</v>
      </c>
      <c r="BG31" s="16" t="s">
        <v>30</v>
      </c>
      <c r="BH31" s="16" t="s">
        <v>235</v>
      </c>
      <c r="BI31" s="16" t="s">
        <v>30</v>
      </c>
      <c r="BJ31" s="16" t="s">
        <v>235</v>
      </c>
      <c r="BK31" s="16" t="s">
        <v>30</v>
      </c>
      <c r="BL31" s="16" t="s">
        <v>235</v>
      </c>
      <c r="BM31" s="16" t="s">
        <v>30</v>
      </c>
      <c r="BN31" s="16" t="s">
        <v>235</v>
      </c>
      <c r="BO31" s="16" t="s">
        <v>30</v>
      </c>
      <c r="BP31" s="16" t="s">
        <v>235</v>
      </c>
      <c r="BQ31" s="16" t="s">
        <v>30</v>
      </c>
      <c r="BR31" s="16" t="s">
        <v>235</v>
      </c>
      <c r="BS31" s="16" t="s">
        <v>30</v>
      </c>
      <c r="BT31" s="16" t="s">
        <v>235</v>
      </c>
      <c r="BU31" s="16" t="s">
        <v>30</v>
      </c>
      <c r="BV31" s="16" t="s">
        <v>235</v>
      </c>
      <c r="BW31" s="16" t="s">
        <v>30</v>
      </c>
      <c r="BX31" s="16" t="s">
        <v>235</v>
      </c>
      <c r="BY31" s="16" t="s">
        <v>30</v>
      </c>
      <c r="BZ31" s="16" t="s">
        <v>235</v>
      </c>
      <c r="CA31" s="16" t="s">
        <v>30</v>
      </c>
      <c r="CB31" s="16" t="s">
        <v>235</v>
      </c>
      <c r="CC31" s="16" t="s">
        <v>30</v>
      </c>
      <c r="CD31" s="16" t="s">
        <v>235</v>
      </c>
      <c r="CE31" s="16" t="s">
        <v>30</v>
      </c>
      <c r="CF31" s="16" t="s">
        <v>235</v>
      </c>
      <c r="CG31" s="16" t="s">
        <v>30</v>
      </c>
      <c r="CH31" s="16" t="s">
        <v>235</v>
      </c>
      <c r="CI31" s="16" t="s">
        <v>30</v>
      </c>
      <c r="CJ31" s="16" t="s">
        <v>235</v>
      </c>
      <c r="CK31" s="16" t="s">
        <v>30</v>
      </c>
      <c r="CL31" s="16" t="s">
        <v>235</v>
      </c>
      <c r="CM31" s="16" t="s">
        <v>30</v>
      </c>
      <c r="CN31" s="16" t="s">
        <v>235</v>
      </c>
      <c r="CO31" s="16" t="s">
        <v>30</v>
      </c>
      <c r="CP31" s="16" t="s">
        <v>235</v>
      </c>
      <c r="CQ31" s="16" t="s">
        <v>30</v>
      </c>
      <c r="CR31" s="16" t="s">
        <v>235</v>
      </c>
      <c r="CS31" s="16" t="s">
        <v>30</v>
      </c>
      <c r="CT31" s="16" t="s">
        <v>235</v>
      </c>
      <c r="CU31" s="16" t="s">
        <v>30</v>
      </c>
      <c r="CV31" s="16" t="s">
        <v>235</v>
      </c>
      <c r="CW31" s="16" t="s">
        <v>30</v>
      </c>
      <c r="CX31" s="16" t="s">
        <v>235</v>
      </c>
      <c r="CY31" s="16" t="s">
        <v>30</v>
      </c>
      <c r="CZ31" s="16" t="s">
        <v>235</v>
      </c>
      <c r="DA31" s="16" t="s">
        <v>30</v>
      </c>
      <c r="DB31" s="16" t="s">
        <v>235</v>
      </c>
      <c r="DC31" s="16" t="s">
        <v>30</v>
      </c>
      <c r="DD31" s="16" t="s">
        <v>235</v>
      </c>
      <c r="DE31" s="16" t="s">
        <v>30</v>
      </c>
      <c r="DF31" s="16" t="s">
        <v>235</v>
      </c>
      <c r="DG31" s="16" t="s">
        <v>30</v>
      </c>
      <c r="DH31" s="16" t="s">
        <v>235</v>
      </c>
      <c r="DI31" s="16" t="s">
        <v>30</v>
      </c>
      <c r="DJ31" s="16" t="s">
        <v>235</v>
      </c>
      <c r="DK31" s="16" t="s">
        <v>30</v>
      </c>
      <c r="DL31" s="16" t="s">
        <v>235</v>
      </c>
      <c r="DM31" s="16" t="s">
        <v>30</v>
      </c>
      <c r="DN31" s="16" t="s">
        <v>235</v>
      </c>
      <c r="DO31" s="16" t="s">
        <v>30</v>
      </c>
      <c r="DP31" s="16" t="s">
        <v>235</v>
      </c>
      <c r="DQ31" s="16" t="s">
        <v>30</v>
      </c>
      <c r="DR31" s="16" t="s">
        <v>235</v>
      </c>
      <c r="DS31" s="16" t="s">
        <v>30</v>
      </c>
      <c r="DT31" s="16" t="s">
        <v>235</v>
      </c>
      <c r="DU31" s="16" t="s">
        <v>30</v>
      </c>
      <c r="DV31" s="16" t="s">
        <v>235</v>
      </c>
      <c r="DW31" s="16" t="s">
        <v>30</v>
      </c>
      <c r="DX31" s="16" t="s">
        <v>235</v>
      </c>
      <c r="DY31" s="16" t="s">
        <v>30</v>
      </c>
      <c r="DZ31" s="16" t="s">
        <v>235</v>
      </c>
      <c r="EA31" s="16" t="s">
        <v>30</v>
      </c>
      <c r="EB31" s="16" t="s">
        <v>235</v>
      </c>
      <c r="EC31" s="16" t="s">
        <v>30</v>
      </c>
      <c r="ED31" s="16" t="s">
        <v>235</v>
      </c>
      <c r="EE31" s="16" t="s">
        <v>30</v>
      </c>
      <c r="EF31" s="16" t="s">
        <v>235</v>
      </c>
      <c r="EG31" s="16" t="s">
        <v>30</v>
      </c>
      <c r="EH31" s="16" t="s">
        <v>235</v>
      </c>
      <c r="EI31" s="16" t="s">
        <v>30</v>
      </c>
      <c r="EJ31" s="16" t="s">
        <v>235</v>
      </c>
      <c r="EK31" s="16" t="s">
        <v>30</v>
      </c>
      <c r="EL31" s="16" t="s">
        <v>235</v>
      </c>
      <c r="EM31" s="16" t="s">
        <v>30</v>
      </c>
      <c r="EN31" s="16" t="s">
        <v>235</v>
      </c>
      <c r="EO31" s="16" t="s">
        <v>30</v>
      </c>
      <c r="EP31" s="16" t="s">
        <v>235</v>
      </c>
      <c r="EQ31" s="16" t="s">
        <v>30</v>
      </c>
      <c r="ER31" s="16" t="s">
        <v>235</v>
      </c>
      <c r="ES31" s="16" t="s">
        <v>30</v>
      </c>
      <c r="ET31" s="16" t="s">
        <v>235</v>
      </c>
      <c r="EU31" s="16" t="s">
        <v>30</v>
      </c>
      <c r="EV31" s="16" t="s">
        <v>235</v>
      </c>
      <c r="EW31" s="16" t="s">
        <v>30</v>
      </c>
      <c r="EX31" s="16" t="s">
        <v>235</v>
      </c>
      <c r="EY31" s="16" t="s">
        <v>30</v>
      </c>
      <c r="EZ31" s="16" t="s">
        <v>235</v>
      </c>
      <c r="FA31" s="16" t="s">
        <v>30</v>
      </c>
      <c r="FB31" s="16" t="s">
        <v>235</v>
      </c>
      <c r="FC31" s="16" t="s">
        <v>30</v>
      </c>
      <c r="FD31" s="16" t="s">
        <v>235</v>
      </c>
      <c r="FE31" s="16" t="s">
        <v>30</v>
      </c>
      <c r="FF31" s="17">
        <v>54844.9</v>
      </c>
      <c r="FG31" s="16" t="s">
        <v>30</v>
      </c>
      <c r="FH31" s="17">
        <v>58283.199999999997</v>
      </c>
      <c r="FI31" s="16" t="s">
        <v>30</v>
      </c>
      <c r="FJ31" s="17">
        <v>58118.400000000001</v>
      </c>
      <c r="FK31" s="16" t="s">
        <v>30</v>
      </c>
      <c r="FL31" s="17">
        <v>60510.1</v>
      </c>
      <c r="FM31" s="16" t="s">
        <v>30</v>
      </c>
      <c r="FN31" s="17">
        <v>56054.8</v>
      </c>
      <c r="FO31" s="16" t="s">
        <v>30</v>
      </c>
      <c r="FP31" s="17">
        <v>59157.1</v>
      </c>
      <c r="FQ31" s="16" t="s">
        <v>30</v>
      </c>
      <c r="FR31" s="17">
        <v>59306.3</v>
      </c>
      <c r="FS31" s="16" t="s">
        <v>30</v>
      </c>
      <c r="FT31" s="17">
        <v>61308.3</v>
      </c>
      <c r="FU31" s="16" t="s">
        <v>30</v>
      </c>
      <c r="FV31" s="17">
        <v>57212.800000000003</v>
      </c>
      <c r="FW31" s="16" t="s">
        <v>30</v>
      </c>
      <c r="FX31" s="17">
        <v>60334.6</v>
      </c>
      <c r="FY31" s="16" t="s">
        <v>30</v>
      </c>
      <c r="FZ31" s="17">
        <v>60345.7</v>
      </c>
      <c r="GA31" s="16" t="s">
        <v>30</v>
      </c>
      <c r="GB31" s="17">
        <v>63074.9</v>
      </c>
      <c r="GC31" s="16" t="s">
        <v>30</v>
      </c>
      <c r="GD31" s="17">
        <v>59293.599999999999</v>
      </c>
      <c r="GE31" s="16" t="s">
        <v>30</v>
      </c>
      <c r="GF31" s="17">
        <v>62683.7</v>
      </c>
      <c r="GG31" s="16" t="s">
        <v>30</v>
      </c>
      <c r="GH31" s="17">
        <v>62711.6</v>
      </c>
      <c r="GI31" s="16" t="s">
        <v>30</v>
      </c>
      <c r="GJ31" s="18">
        <v>65388</v>
      </c>
      <c r="GK31" s="16" t="s">
        <v>30</v>
      </c>
      <c r="GL31" s="17">
        <v>60984.1</v>
      </c>
      <c r="GM31" s="16" t="s">
        <v>30</v>
      </c>
      <c r="GN31" s="17">
        <v>64844.2</v>
      </c>
      <c r="GO31" s="16" t="s">
        <v>30</v>
      </c>
      <c r="GP31" s="17">
        <v>65023.9</v>
      </c>
      <c r="GQ31" s="16" t="s">
        <v>30</v>
      </c>
      <c r="GR31" s="17">
        <v>67918.100000000006</v>
      </c>
      <c r="GS31" s="16" t="s">
        <v>30</v>
      </c>
      <c r="GT31" s="17">
        <v>63632.3</v>
      </c>
      <c r="GU31" s="16" t="s">
        <v>30</v>
      </c>
      <c r="GV31" s="17">
        <v>67002.7</v>
      </c>
      <c r="GW31" s="16" t="s">
        <v>30</v>
      </c>
      <c r="GX31" s="17">
        <v>67067.199999999997</v>
      </c>
      <c r="GY31" s="16" t="s">
        <v>30</v>
      </c>
      <c r="GZ31" s="17">
        <v>70441.5</v>
      </c>
      <c r="HA31" s="16" t="s">
        <v>30</v>
      </c>
      <c r="HB31" s="17">
        <v>65747.3</v>
      </c>
      <c r="HC31" s="16" t="s">
        <v>30</v>
      </c>
      <c r="HD31" s="17">
        <v>68159.8</v>
      </c>
      <c r="HE31" s="16" t="s">
        <v>30</v>
      </c>
      <c r="HF31" s="17">
        <v>67894.8</v>
      </c>
      <c r="HG31" s="16" t="s">
        <v>30</v>
      </c>
      <c r="HH31" s="17">
        <v>70328.3</v>
      </c>
      <c r="HI31" s="16" t="s">
        <v>30</v>
      </c>
      <c r="HJ31" s="17">
        <v>66729.399999999994</v>
      </c>
      <c r="HK31" s="16" t="s">
        <v>30</v>
      </c>
      <c r="HL31" s="17">
        <v>68993.7</v>
      </c>
      <c r="HM31" s="16" t="s">
        <v>30</v>
      </c>
      <c r="HN31" s="17">
        <v>69049.8</v>
      </c>
      <c r="HO31" s="16" t="s">
        <v>30</v>
      </c>
      <c r="HP31" s="17">
        <v>71123.399999999994</v>
      </c>
      <c r="HQ31" s="16" t="s">
        <v>30</v>
      </c>
      <c r="HR31" s="17">
        <v>66558.899999999994</v>
      </c>
      <c r="HS31" s="16" t="s">
        <v>30</v>
      </c>
      <c r="HT31" s="17">
        <v>69549.5</v>
      </c>
      <c r="HU31" s="16" t="s">
        <v>30</v>
      </c>
      <c r="HV31" s="17">
        <v>70615.7</v>
      </c>
      <c r="HW31" s="16" t="s">
        <v>30</v>
      </c>
      <c r="HX31" s="17">
        <v>72788.600000000006</v>
      </c>
      <c r="HY31" s="16" t="s">
        <v>30</v>
      </c>
      <c r="HZ31" s="17">
        <v>67992.800000000003</v>
      </c>
      <c r="IA31" s="16" t="s">
        <v>30</v>
      </c>
      <c r="IB31" s="17">
        <v>71921.5</v>
      </c>
      <c r="IC31" s="16" t="s">
        <v>30</v>
      </c>
      <c r="ID31" s="17">
        <v>72471.899999999994</v>
      </c>
      <c r="IE31" s="16" t="s">
        <v>30</v>
      </c>
      <c r="IF31" s="17">
        <v>74772.600000000006</v>
      </c>
      <c r="IG31" s="16" t="s">
        <v>30</v>
      </c>
      <c r="IH31" s="17">
        <v>69581.7</v>
      </c>
      <c r="II31" s="16" t="s">
        <v>30</v>
      </c>
      <c r="IJ31" s="17">
        <v>74252.800000000003</v>
      </c>
      <c r="IK31" s="16" t="s">
        <v>30</v>
      </c>
      <c r="IL31" s="17">
        <v>73507.8</v>
      </c>
      <c r="IM31" s="16" t="s">
        <v>30</v>
      </c>
      <c r="IN31" s="17">
        <v>76883.600000000006</v>
      </c>
      <c r="IO31" s="16" t="s">
        <v>30</v>
      </c>
      <c r="IP31" s="18">
        <v>73164</v>
      </c>
      <c r="IQ31" s="16" t="s">
        <v>30</v>
      </c>
      <c r="IR31" s="17">
        <v>75936.2</v>
      </c>
      <c r="IS31" s="16" t="s">
        <v>30</v>
      </c>
      <c r="IT31" s="17">
        <v>75919.199999999997</v>
      </c>
      <c r="IU31" s="16" t="s">
        <v>30</v>
      </c>
      <c r="IV31" s="17">
        <v>79650.7</v>
      </c>
      <c r="IW31" s="16" t="s">
        <v>30</v>
      </c>
      <c r="IX31" s="17">
        <v>76056.399999999994</v>
      </c>
      <c r="IY31" s="16" t="s">
        <v>30</v>
      </c>
      <c r="IZ31" s="17">
        <v>79306.7</v>
      </c>
      <c r="JA31" s="16" t="s">
        <v>30</v>
      </c>
      <c r="JB31" s="17">
        <v>79135.8</v>
      </c>
      <c r="JC31" s="16" t="s">
        <v>30</v>
      </c>
      <c r="JD31" s="17">
        <v>81969.899999999994</v>
      </c>
      <c r="JE31" s="16" t="s">
        <v>30</v>
      </c>
      <c r="JF31" s="18">
        <v>78494</v>
      </c>
      <c r="JG31" s="16" t="s">
        <v>30</v>
      </c>
      <c r="JH31" s="17">
        <v>81933.5</v>
      </c>
      <c r="JI31" s="16" t="s">
        <v>30</v>
      </c>
      <c r="JJ31" s="17">
        <v>80396.7</v>
      </c>
      <c r="JK31" s="16" t="s">
        <v>30</v>
      </c>
      <c r="JL31" s="17">
        <v>81000.2</v>
      </c>
      <c r="JM31" s="16" t="s">
        <v>30</v>
      </c>
      <c r="JN31" s="17">
        <v>74489.2</v>
      </c>
      <c r="JO31" s="16" t="s">
        <v>30</v>
      </c>
      <c r="JP31" s="17">
        <v>77087.5</v>
      </c>
      <c r="JQ31" s="16" t="s">
        <v>30</v>
      </c>
      <c r="JR31" s="17">
        <v>77138.8</v>
      </c>
      <c r="JS31" s="16" t="s">
        <v>30</v>
      </c>
      <c r="JT31" s="17">
        <v>80221.7</v>
      </c>
      <c r="JU31" s="16" t="s">
        <v>30</v>
      </c>
      <c r="JV31" s="17">
        <v>74066.8</v>
      </c>
      <c r="JW31" s="16" t="s">
        <v>30</v>
      </c>
      <c r="JX31" s="17">
        <v>78215.600000000006</v>
      </c>
      <c r="JY31" s="16" t="s">
        <v>30</v>
      </c>
      <c r="JZ31" s="17">
        <v>79410.399999999994</v>
      </c>
      <c r="KA31" s="16" t="s">
        <v>30</v>
      </c>
      <c r="KB31" s="17">
        <v>83026.100000000006</v>
      </c>
      <c r="KC31" s="16" t="s">
        <v>30</v>
      </c>
      <c r="KD31" s="17">
        <v>78073.5</v>
      </c>
      <c r="KE31" s="16" t="s">
        <v>30</v>
      </c>
      <c r="KF31" s="17">
        <v>81217.2</v>
      </c>
      <c r="KG31" s="16" t="s">
        <v>30</v>
      </c>
      <c r="KH31" s="17">
        <v>81329.5</v>
      </c>
      <c r="KI31" s="16" t="s">
        <v>30</v>
      </c>
      <c r="KJ31" s="17">
        <v>84345.7</v>
      </c>
      <c r="KK31" s="16" t="s">
        <v>30</v>
      </c>
      <c r="KL31" s="17">
        <v>79827.100000000006</v>
      </c>
      <c r="KM31" s="16" t="s">
        <v>30</v>
      </c>
      <c r="KN31" s="17">
        <v>81098.8</v>
      </c>
      <c r="KO31" s="16" t="s">
        <v>30</v>
      </c>
      <c r="KP31" s="17">
        <v>81343.199999999997</v>
      </c>
      <c r="KQ31" s="16" t="s">
        <v>30</v>
      </c>
      <c r="KR31" s="17">
        <v>84166.9</v>
      </c>
      <c r="KS31" s="16" t="s">
        <v>30</v>
      </c>
      <c r="KT31" s="17">
        <v>78789.899999999994</v>
      </c>
      <c r="KU31" s="16" t="s">
        <v>30</v>
      </c>
      <c r="KV31" s="17">
        <v>80813.899999999994</v>
      </c>
      <c r="KW31" s="16" t="s">
        <v>30</v>
      </c>
      <c r="KX31" s="17">
        <v>81297.2</v>
      </c>
      <c r="KY31" s="16" t="s">
        <v>30</v>
      </c>
      <c r="KZ31" s="17">
        <v>85109.5</v>
      </c>
      <c r="LA31" s="16" t="s">
        <v>30</v>
      </c>
      <c r="LB31" s="17">
        <v>79480.2</v>
      </c>
      <c r="LC31" s="16" t="s">
        <v>30</v>
      </c>
      <c r="LD31" s="17">
        <v>81233.5</v>
      </c>
      <c r="LE31" s="16" t="s">
        <v>30</v>
      </c>
      <c r="LF31" s="17">
        <v>81866.5</v>
      </c>
      <c r="LG31" s="16" t="s">
        <v>30</v>
      </c>
      <c r="LH31" s="17">
        <v>85857.2</v>
      </c>
      <c r="LI31" s="16" t="s">
        <v>30</v>
      </c>
      <c r="LJ31" s="17">
        <v>80291.3</v>
      </c>
      <c r="LK31" s="16" t="s">
        <v>30</v>
      </c>
      <c r="LL31" s="17">
        <v>82035.199999999997</v>
      </c>
      <c r="LM31" s="16" t="s">
        <v>30</v>
      </c>
      <c r="LN31" s="17">
        <v>82815.3</v>
      </c>
      <c r="LO31" s="16" t="s">
        <v>30</v>
      </c>
      <c r="LP31" s="17">
        <v>86831.7</v>
      </c>
      <c r="LQ31" s="16" t="s">
        <v>30</v>
      </c>
      <c r="LR31" s="17">
        <v>82025.899999999994</v>
      </c>
      <c r="LS31" s="16" t="s">
        <v>30</v>
      </c>
      <c r="LT31" s="17">
        <v>84202.8</v>
      </c>
      <c r="LU31" s="16" t="s">
        <v>30</v>
      </c>
      <c r="LV31" s="17">
        <v>83996.7</v>
      </c>
      <c r="LW31" s="16" t="s">
        <v>30</v>
      </c>
      <c r="LX31" s="17">
        <v>88655.9</v>
      </c>
      <c r="LY31" s="16" t="s">
        <v>30</v>
      </c>
      <c r="LZ31" s="17">
        <v>84805.6</v>
      </c>
      <c r="MA31" s="16" t="s">
        <v>30</v>
      </c>
      <c r="MB31" s="17">
        <v>85681.5</v>
      </c>
      <c r="MC31" s="16" t="s">
        <v>30</v>
      </c>
      <c r="MD31" s="17">
        <v>85787.4</v>
      </c>
      <c r="ME31" s="16" t="s">
        <v>30</v>
      </c>
      <c r="MF31" s="17">
        <v>90732.2</v>
      </c>
      <c r="MG31" s="16" t="s">
        <v>30</v>
      </c>
      <c r="MH31" s="17">
        <v>86523.6</v>
      </c>
      <c r="MI31" s="16" t="s">
        <v>30</v>
      </c>
      <c r="MJ31" s="17">
        <v>88117.3</v>
      </c>
      <c r="MK31" s="16" t="s">
        <v>30</v>
      </c>
      <c r="ML31" s="17">
        <v>87824.4</v>
      </c>
      <c r="MM31" s="16" t="s">
        <v>30</v>
      </c>
      <c r="MN31" s="17">
        <v>94010.1</v>
      </c>
      <c r="MO31" s="16" t="s">
        <v>30</v>
      </c>
      <c r="MP31" s="18">
        <v>89362</v>
      </c>
      <c r="MQ31" s="16" t="s">
        <v>30</v>
      </c>
      <c r="MR31" s="17">
        <v>89921.3</v>
      </c>
      <c r="MS31" s="16" t="s">
        <v>30</v>
      </c>
      <c r="MT31" s="17">
        <v>89589.9</v>
      </c>
      <c r="MU31" s="16" t="s">
        <v>30</v>
      </c>
      <c r="MV31" s="17">
        <v>93974.1</v>
      </c>
      <c r="MW31" s="16" t="s">
        <v>30</v>
      </c>
      <c r="MX31" s="17">
        <v>87167.4</v>
      </c>
      <c r="MY31" s="16" t="s">
        <v>30</v>
      </c>
      <c r="MZ31" s="17">
        <v>77897.2</v>
      </c>
      <c r="NA31" s="16" t="s">
        <v>30</v>
      </c>
      <c r="NB31" s="17">
        <v>86173.4</v>
      </c>
      <c r="NC31" s="16" t="s">
        <v>30</v>
      </c>
      <c r="ND31" s="17">
        <v>89291.9</v>
      </c>
      <c r="NE31" s="16" t="s">
        <v>30</v>
      </c>
      <c r="NF31" s="17">
        <v>82121.8</v>
      </c>
      <c r="NG31" s="16" t="s">
        <v>30</v>
      </c>
      <c r="NH31" s="17">
        <v>88556.9</v>
      </c>
      <c r="NI31" s="16" t="s">
        <v>30</v>
      </c>
      <c r="NJ31" s="17">
        <v>90052.2</v>
      </c>
      <c r="NK31" s="16" t="s">
        <v>30</v>
      </c>
      <c r="NL31" s="17">
        <v>95113.1</v>
      </c>
      <c r="NM31" s="16" t="s">
        <v>30</v>
      </c>
      <c r="NN31" s="17">
        <v>91241.5</v>
      </c>
      <c r="NO31" s="16" t="s">
        <v>30</v>
      </c>
      <c r="NP31" s="17">
        <v>94880.1</v>
      </c>
      <c r="NQ31" s="16" t="s">
        <v>30</v>
      </c>
      <c r="NR31" s="17">
        <v>94049.5</v>
      </c>
      <c r="NS31" s="16" t="s">
        <v>30</v>
      </c>
      <c r="NT31" s="17">
        <v>98710.7</v>
      </c>
      <c r="NU31" s="16" t="s">
        <v>30</v>
      </c>
      <c r="NV31" s="17">
        <v>94059.4</v>
      </c>
      <c r="NW31" s="16" t="s">
        <v>30</v>
      </c>
      <c r="NX31" s="17">
        <v>93360.3</v>
      </c>
      <c r="NY31" s="16" t="s">
        <v>30</v>
      </c>
      <c r="NZ31" s="17">
        <v>91575.3</v>
      </c>
      <c r="OA31" s="16" t="s">
        <v>30</v>
      </c>
      <c r="OB31" s="18">
        <v>95975</v>
      </c>
      <c r="OC31" s="16" t="s">
        <v>30</v>
      </c>
      <c r="OD31" s="17">
        <v>91815.1</v>
      </c>
      <c r="OE31" s="16" t="s">
        <v>30</v>
      </c>
      <c r="OF31" s="18">
        <v>92032</v>
      </c>
      <c r="OG31" s="16" t="s">
        <v>30</v>
      </c>
      <c r="OH31" s="17">
        <v>90967.2</v>
      </c>
      <c r="OI31" s="16" t="s">
        <v>30</v>
      </c>
      <c r="OJ31" s="17">
        <v>96576.6</v>
      </c>
      <c r="OK31" s="16" t="s">
        <v>30</v>
      </c>
      <c r="OL31" s="17">
        <v>91746.7</v>
      </c>
      <c r="OM31" s="16" t="s">
        <v>30</v>
      </c>
      <c r="ON31" s="17">
        <v>92242.1</v>
      </c>
      <c r="OO31" s="16" t="s">
        <v>30</v>
      </c>
      <c r="OP31" s="16" t="s">
        <v>235</v>
      </c>
      <c r="OQ31" s="16" t="s">
        <v>30</v>
      </c>
    </row>
    <row r="32" spans="1:407" x14ac:dyDescent="0.3">
      <c r="A32" s="12" t="s">
        <v>257</v>
      </c>
      <c r="B32" s="13" t="s">
        <v>235</v>
      </c>
      <c r="C32" s="13" t="s">
        <v>30</v>
      </c>
      <c r="D32" s="13" t="s">
        <v>235</v>
      </c>
      <c r="E32" s="13" t="s">
        <v>30</v>
      </c>
      <c r="F32" s="13" t="s">
        <v>235</v>
      </c>
      <c r="G32" s="13" t="s">
        <v>30</v>
      </c>
      <c r="H32" s="13" t="s">
        <v>235</v>
      </c>
      <c r="I32" s="13" t="s">
        <v>30</v>
      </c>
      <c r="J32" s="13" t="s">
        <v>235</v>
      </c>
      <c r="K32" s="13" t="s">
        <v>30</v>
      </c>
      <c r="L32" s="13" t="s">
        <v>235</v>
      </c>
      <c r="M32" s="13" t="s">
        <v>30</v>
      </c>
      <c r="N32" s="13" t="s">
        <v>235</v>
      </c>
      <c r="O32" s="13" t="s">
        <v>30</v>
      </c>
      <c r="P32" s="13" t="s">
        <v>235</v>
      </c>
      <c r="Q32" s="13" t="s">
        <v>30</v>
      </c>
      <c r="R32" s="13" t="s">
        <v>235</v>
      </c>
      <c r="S32" s="13" t="s">
        <v>30</v>
      </c>
      <c r="T32" s="13" t="s">
        <v>235</v>
      </c>
      <c r="U32" s="13" t="s">
        <v>30</v>
      </c>
      <c r="V32" s="13" t="s">
        <v>235</v>
      </c>
      <c r="W32" s="13" t="s">
        <v>30</v>
      </c>
      <c r="X32" s="13" t="s">
        <v>235</v>
      </c>
      <c r="Y32" s="13" t="s">
        <v>30</v>
      </c>
      <c r="Z32" s="13" t="s">
        <v>235</v>
      </c>
      <c r="AA32" s="13" t="s">
        <v>30</v>
      </c>
      <c r="AB32" s="13" t="s">
        <v>235</v>
      </c>
      <c r="AC32" s="13" t="s">
        <v>30</v>
      </c>
      <c r="AD32" s="13" t="s">
        <v>235</v>
      </c>
      <c r="AE32" s="13" t="s">
        <v>30</v>
      </c>
      <c r="AF32" s="13" t="s">
        <v>235</v>
      </c>
      <c r="AG32" s="13" t="s">
        <v>30</v>
      </c>
      <c r="AH32" s="13" t="s">
        <v>235</v>
      </c>
      <c r="AI32" s="13" t="s">
        <v>30</v>
      </c>
      <c r="AJ32" s="13" t="s">
        <v>235</v>
      </c>
      <c r="AK32" s="13" t="s">
        <v>30</v>
      </c>
      <c r="AL32" s="13" t="s">
        <v>235</v>
      </c>
      <c r="AM32" s="13" t="s">
        <v>30</v>
      </c>
      <c r="AN32" s="13" t="s">
        <v>235</v>
      </c>
      <c r="AO32" s="13" t="s">
        <v>30</v>
      </c>
      <c r="AP32" s="13" t="s">
        <v>235</v>
      </c>
      <c r="AQ32" s="13" t="s">
        <v>30</v>
      </c>
      <c r="AR32" s="13" t="s">
        <v>235</v>
      </c>
      <c r="AS32" s="13" t="s">
        <v>30</v>
      </c>
      <c r="AT32" s="13" t="s">
        <v>235</v>
      </c>
      <c r="AU32" s="13" t="s">
        <v>30</v>
      </c>
      <c r="AV32" s="13" t="s">
        <v>235</v>
      </c>
      <c r="AW32" s="13" t="s">
        <v>30</v>
      </c>
      <c r="AX32" s="13" t="s">
        <v>235</v>
      </c>
      <c r="AY32" s="13" t="s">
        <v>30</v>
      </c>
      <c r="AZ32" s="13" t="s">
        <v>235</v>
      </c>
      <c r="BA32" s="13" t="s">
        <v>30</v>
      </c>
      <c r="BB32" s="13" t="s">
        <v>235</v>
      </c>
      <c r="BC32" s="13" t="s">
        <v>30</v>
      </c>
      <c r="BD32" s="13" t="s">
        <v>235</v>
      </c>
      <c r="BE32" s="13" t="s">
        <v>30</v>
      </c>
      <c r="BF32" s="13" t="s">
        <v>235</v>
      </c>
      <c r="BG32" s="13" t="s">
        <v>30</v>
      </c>
      <c r="BH32" s="13" t="s">
        <v>235</v>
      </c>
      <c r="BI32" s="13" t="s">
        <v>30</v>
      </c>
      <c r="BJ32" s="13" t="s">
        <v>235</v>
      </c>
      <c r="BK32" s="13" t="s">
        <v>30</v>
      </c>
      <c r="BL32" s="13" t="s">
        <v>235</v>
      </c>
      <c r="BM32" s="13" t="s">
        <v>30</v>
      </c>
      <c r="BN32" s="13" t="s">
        <v>235</v>
      </c>
      <c r="BO32" s="13" t="s">
        <v>30</v>
      </c>
      <c r="BP32" s="13" t="s">
        <v>235</v>
      </c>
      <c r="BQ32" s="13" t="s">
        <v>30</v>
      </c>
      <c r="BR32" s="13" t="s">
        <v>235</v>
      </c>
      <c r="BS32" s="13" t="s">
        <v>30</v>
      </c>
      <c r="BT32" s="13" t="s">
        <v>235</v>
      </c>
      <c r="BU32" s="13" t="s">
        <v>30</v>
      </c>
      <c r="BV32" s="13" t="s">
        <v>235</v>
      </c>
      <c r="BW32" s="13" t="s">
        <v>30</v>
      </c>
      <c r="BX32" s="13" t="s">
        <v>235</v>
      </c>
      <c r="BY32" s="13" t="s">
        <v>30</v>
      </c>
      <c r="BZ32" s="13" t="s">
        <v>235</v>
      </c>
      <c r="CA32" s="13" t="s">
        <v>30</v>
      </c>
      <c r="CB32" s="13" t="s">
        <v>235</v>
      </c>
      <c r="CC32" s="13" t="s">
        <v>30</v>
      </c>
      <c r="CD32" s="13" t="s">
        <v>235</v>
      </c>
      <c r="CE32" s="13" t="s">
        <v>30</v>
      </c>
      <c r="CF32" s="13" t="s">
        <v>235</v>
      </c>
      <c r="CG32" s="13" t="s">
        <v>30</v>
      </c>
      <c r="CH32" s="13" t="s">
        <v>235</v>
      </c>
      <c r="CI32" s="13" t="s">
        <v>30</v>
      </c>
      <c r="CJ32" s="13" t="s">
        <v>235</v>
      </c>
      <c r="CK32" s="13" t="s">
        <v>30</v>
      </c>
      <c r="CL32" s="13" t="s">
        <v>235</v>
      </c>
      <c r="CM32" s="13" t="s">
        <v>30</v>
      </c>
      <c r="CN32" s="13" t="s">
        <v>235</v>
      </c>
      <c r="CO32" s="13" t="s">
        <v>30</v>
      </c>
      <c r="CP32" s="13" t="s">
        <v>235</v>
      </c>
      <c r="CQ32" s="13" t="s">
        <v>30</v>
      </c>
      <c r="CR32" s="13" t="s">
        <v>235</v>
      </c>
      <c r="CS32" s="13" t="s">
        <v>30</v>
      </c>
      <c r="CT32" s="13" t="s">
        <v>235</v>
      </c>
      <c r="CU32" s="13" t="s">
        <v>30</v>
      </c>
      <c r="CV32" s="13" t="s">
        <v>235</v>
      </c>
      <c r="CW32" s="13" t="s">
        <v>30</v>
      </c>
      <c r="CX32" s="13" t="s">
        <v>235</v>
      </c>
      <c r="CY32" s="13" t="s">
        <v>30</v>
      </c>
      <c r="CZ32" s="13" t="s">
        <v>235</v>
      </c>
      <c r="DA32" s="13" t="s">
        <v>30</v>
      </c>
      <c r="DB32" s="13" t="s">
        <v>235</v>
      </c>
      <c r="DC32" s="13" t="s">
        <v>30</v>
      </c>
      <c r="DD32" s="13" t="s">
        <v>235</v>
      </c>
      <c r="DE32" s="13" t="s">
        <v>30</v>
      </c>
      <c r="DF32" s="13" t="s">
        <v>235</v>
      </c>
      <c r="DG32" s="13" t="s">
        <v>30</v>
      </c>
      <c r="DH32" s="13" t="s">
        <v>235</v>
      </c>
      <c r="DI32" s="13" t="s">
        <v>30</v>
      </c>
      <c r="DJ32" s="13" t="s">
        <v>235</v>
      </c>
      <c r="DK32" s="13" t="s">
        <v>30</v>
      </c>
      <c r="DL32" s="13" t="s">
        <v>235</v>
      </c>
      <c r="DM32" s="13" t="s">
        <v>30</v>
      </c>
      <c r="DN32" s="13" t="s">
        <v>235</v>
      </c>
      <c r="DO32" s="13" t="s">
        <v>30</v>
      </c>
      <c r="DP32" s="13" t="s">
        <v>235</v>
      </c>
      <c r="DQ32" s="13" t="s">
        <v>30</v>
      </c>
      <c r="DR32" s="13" t="s">
        <v>235</v>
      </c>
      <c r="DS32" s="13" t="s">
        <v>30</v>
      </c>
      <c r="DT32" s="13" t="s">
        <v>235</v>
      </c>
      <c r="DU32" s="13" t="s">
        <v>30</v>
      </c>
      <c r="DV32" s="13" t="s">
        <v>235</v>
      </c>
      <c r="DW32" s="13" t="s">
        <v>30</v>
      </c>
      <c r="DX32" s="13" t="s">
        <v>235</v>
      </c>
      <c r="DY32" s="13" t="s">
        <v>30</v>
      </c>
      <c r="DZ32" s="13" t="s">
        <v>235</v>
      </c>
      <c r="EA32" s="13" t="s">
        <v>30</v>
      </c>
      <c r="EB32" s="13" t="s">
        <v>235</v>
      </c>
      <c r="EC32" s="13" t="s">
        <v>30</v>
      </c>
      <c r="ED32" s="13" t="s">
        <v>235</v>
      </c>
      <c r="EE32" s="13" t="s">
        <v>30</v>
      </c>
      <c r="EF32" s="13" t="s">
        <v>235</v>
      </c>
      <c r="EG32" s="13" t="s">
        <v>30</v>
      </c>
      <c r="EH32" s="13" t="s">
        <v>235</v>
      </c>
      <c r="EI32" s="13" t="s">
        <v>30</v>
      </c>
      <c r="EJ32" s="13" t="s">
        <v>235</v>
      </c>
      <c r="EK32" s="13" t="s">
        <v>30</v>
      </c>
      <c r="EL32" s="13" t="s">
        <v>235</v>
      </c>
      <c r="EM32" s="13" t="s">
        <v>30</v>
      </c>
      <c r="EN32" s="13" t="s">
        <v>235</v>
      </c>
      <c r="EO32" s="13" t="s">
        <v>30</v>
      </c>
      <c r="EP32" s="13" t="s">
        <v>235</v>
      </c>
      <c r="EQ32" s="13" t="s">
        <v>30</v>
      </c>
      <c r="ER32" s="13" t="s">
        <v>235</v>
      </c>
      <c r="ES32" s="13" t="s">
        <v>30</v>
      </c>
      <c r="ET32" s="13" t="s">
        <v>235</v>
      </c>
      <c r="EU32" s="13" t="s">
        <v>30</v>
      </c>
      <c r="EV32" s="13" t="s">
        <v>235</v>
      </c>
      <c r="EW32" s="13" t="s">
        <v>30</v>
      </c>
      <c r="EX32" s="13" t="s">
        <v>235</v>
      </c>
      <c r="EY32" s="13" t="s">
        <v>30</v>
      </c>
      <c r="EZ32" s="13" t="s">
        <v>235</v>
      </c>
      <c r="FA32" s="13" t="s">
        <v>30</v>
      </c>
      <c r="FB32" s="13" t="s">
        <v>235</v>
      </c>
      <c r="FC32" s="13" t="s">
        <v>30</v>
      </c>
      <c r="FD32" s="13" t="s">
        <v>235</v>
      </c>
      <c r="FE32" s="13" t="s">
        <v>30</v>
      </c>
      <c r="FF32" s="14">
        <v>185687.5</v>
      </c>
      <c r="FG32" s="13" t="s">
        <v>30</v>
      </c>
      <c r="FH32" s="14">
        <v>199760.9</v>
      </c>
      <c r="FI32" s="13" t="s">
        <v>30</v>
      </c>
      <c r="FJ32" s="14">
        <v>212717.6</v>
      </c>
      <c r="FK32" s="13" t="s">
        <v>30</v>
      </c>
      <c r="FL32" s="14">
        <v>227539.5</v>
      </c>
      <c r="FM32" s="13" t="s">
        <v>30</v>
      </c>
      <c r="FN32" s="14">
        <v>201061.5</v>
      </c>
      <c r="FO32" s="13" t="s">
        <v>30</v>
      </c>
      <c r="FP32" s="14">
        <v>216491.7</v>
      </c>
      <c r="FQ32" s="13" t="s">
        <v>30</v>
      </c>
      <c r="FR32" s="14">
        <v>222789.2</v>
      </c>
      <c r="FS32" s="13" t="s">
        <v>30</v>
      </c>
      <c r="FT32" s="14">
        <v>231167.8</v>
      </c>
      <c r="FU32" s="13" t="s">
        <v>30</v>
      </c>
      <c r="FV32" s="14">
        <v>212303.8</v>
      </c>
      <c r="FW32" s="13" t="s">
        <v>30</v>
      </c>
      <c r="FX32" s="14">
        <v>225182.7</v>
      </c>
      <c r="FY32" s="13" t="s">
        <v>30</v>
      </c>
      <c r="FZ32" s="14">
        <v>228170.3</v>
      </c>
      <c r="GA32" s="13" t="s">
        <v>30</v>
      </c>
      <c r="GB32" s="14">
        <v>255581.2</v>
      </c>
      <c r="GC32" s="13" t="s">
        <v>30</v>
      </c>
      <c r="GD32" s="14">
        <v>224077.8</v>
      </c>
      <c r="GE32" s="13" t="s">
        <v>30</v>
      </c>
      <c r="GF32" s="14">
        <v>232762.3</v>
      </c>
      <c r="GG32" s="13" t="s">
        <v>30</v>
      </c>
      <c r="GH32" s="14">
        <v>237958.1</v>
      </c>
      <c r="GI32" s="13" t="s">
        <v>30</v>
      </c>
      <c r="GJ32" s="14">
        <v>267332.7</v>
      </c>
      <c r="GK32" s="13" t="s">
        <v>30</v>
      </c>
      <c r="GL32" s="14">
        <v>227499.8</v>
      </c>
      <c r="GM32" s="13" t="s">
        <v>30</v>
      </c>
      <c r="GN32" s="14">
        <v>240654.7</v>
      </c>
      <c r="GO32" s="13" t="s">
        <v>30</v>
      </c>
      <c r="GP32" s="14">
        <v>249791.5</v>
      </c>
      <c r="GQ32" s="13" t="s">
        <v>30</v>
      </c>
      <c r="GR32" s="14">
        <v>287079.3</v>
      </c>
      <c r="GS32" s="13" t="s">
        <v>30</v>
      </c>
      <c r="GT32" s="14">
        <v>241076.1</v>
      </c>
      <c r="GU32" s="13" t="s">
        <v>30</v>
      </c>
      <c r="GV32" s="14">
        <v>254602.1</v>
      </c>
      <c r="GW32" s="13" t="s">
        <v>30</v>
      </c>
      <c r="GX32" s="14">
        <v>255551.6</v>
      </c>
      <c r="GY32" s="13" t="s">
        <v>30</v>
      </c>
      <c r="GZ32" s="14">
        <v>298209.5</v>
      </c>
      <c r="HA32" s="13" t="s">
        <v>30</v>
      </c>
      <c r="HB32" s="15">
        <v>248955</v>
      </c>
      <c r="HC32" s="13" t="s">
        <v>30</v>
      </c>
      <c r="HD32" s="14">
        <v>255943.8</v>
      </c>
      <c r="HE32" s="13" t="s">
        <v>30</v>
      </c>
      <c r="HF32" s="14">
        <v>261249.3</v>
      </c>
      <c r="HG32" s="13" t="s">
        <v>30</v>
      </c>
      <c r="HH32" s="14">
        <v>297257.2</v>
      </c>
      <c r="HI32" s="13" t="s">
        <v>30</v>
      </c>
      <c r="HJ32" s="14">
        <v>253144.1</v>
      </c>
      <c r="HK32" s="13" t="s">
        <v>30</v>
      </c>
      <c r="HL32" s="14">
        <v>261965.5</v>
      </c>
      <c r="HM32" s="13" t="s">
        <v>30</v>
      </c>
      <c r="HN32" s="14">
        <v>267070.7</v>
      </c>
      <c r="HO32" s="13" t="s">
        <v>30</v>
      </c>
      <c r="HP32" s="15">
        <v>300537</v>
      </c>
      <c r="HQ32" s="13" t="s">
        <v>30</v>
      </c>
      <c r="HR32" s="14">
        <v>259285.7</v>
      </c>
      <c r="HS32" s="13" t="s">
        <v>30</v>
      </c>
      <c r="HT32" s="14">
        <v>270154.7</v>
      </c>
      <c r="HU32" s="13" t="s">
        <v>30</v>
      </c>
      <c r="HV32" s="14">
        <v>277745.3</v>
      </c>
      <c r="HW32" s="13" t="s">
        <v>30</v>
      </c>
      <c r="HX32" s="14">
        <v>311722.7</v>
      </c>
      <c r="HY32" s="13" t="s">
        <v>30</v>
      </c>
      <c r="HZ32" s="15">
        <v>276308</v>
      </c>
      <c r="IA32" s="13" t="s">
        <v>30</v>
      </c>
      <c r="IB32" s="14">
        <v>287892.8</v>
      </c>
      <c r="IC32" s="13" t="s">
        <v>30</v>
      </c>
      <c r="ID32" s="14">
        <v>287354.5</v>
      </c>
      <c r="IE32" s="13" t="s">
        <v>30</v>
      </c>
      <c r="IF32" s="14">
        <v>328033.7</v>
      </c>
      <c r="IG32" s="13" t="s">
        <v>30</v>
      </c>
      <c r="IH32" s="14">
        <v>281870.8</v>
      </c>
      <c r="II32" s="13" t="s">
        <v>30</v>
      </c>
      <c r="IJ32" s="14">
        <v>300048.3</v>
      </c>
      <c r="IK32" s="13" t="s">
        <v>30</v>
      </c>
      <c r="IL32" s="14">
        <v>296505.90000000002</v>
      </c>
      <c r="IM32" s="13" t="s">
        <v>30</v>
      </c>
      <c r="IN32" s="14">
        <v>337925.6</v>
      </c>
      <c r="IO32" s="13" t="s">
        <v>30</v>
      </c>
      <c r="IP32" s="14">
        <v>305087.90000000002</v>
      </c>
      <c r="IQ32" s="13" t="s">
        <v>30</v>
      </c>
      <c r="IR32" s="15">
        <v>315684</v>
      </c>
      <c r="IS32" s="13" t="s">
        <v>30</v>
      </c>
      <c r="IT32" s="14">
        <v>318554.7</v>
      </c>
      <c r="IU32" s="13" t="s">
        <v>30</v>
      </c>
      <c r="IV32" s="14">
        <v>352178.5</v>
      </c>
      <c r="IW32" s="13" t="s">
        <v>30</v>
      </c>
      <c r="IX32" s="14">
        <v>328059.3</v>
      </c>
      <c r="IY32" s="13" t="s">
        <v>30</v>
      </c>
      <c r="IZ32" s="14">
        <v>332883.7</v>
      </c>
      <c r="JA32" s="13" t="s">
        <v>30</v>
      </c>
      <c r="JB32" s="14">
        <v>334515.90000000002</v>
      </c>
      <c r="JC32" s="13" t="s">
        <v>30</v>
      </c>
      <c r="JD32" s="15">
        <v>383857</v>
      </c>
      <c r="JE32" s="13" t="s">
        <v>30</v>
      </c>
      <c r="JF32" s="15">
        <v>344849</v>
      </c>
      <c r="JG32" s="13" t="s">
        <v>30</v>
      </c>
      <c r="JH32" s="14">
        <v>350128.5</v>
      </c>
      <c r="JI32" s="13" t="s">
        <v>30</v>
      </c>
      <c r="JJ32" s="14">
        <v>345085.3</v>
      </c>
      <c r="JK32" s="13" t="s">
        <v>30</v>
      </c>
      <c r="JL32" s="14">
        <v>396538.7</v>
      </c>
      <c r="JM32" s="13" t="s">
        <v>30</v>
      </c>
      <c r="JN32" s="14">
        <v>351095.8</v>
      </c>
      <c r="JO32" s="13" t="s">
        <v>30</v>
      </c>
      <c r="JP32" s="14">
        <v>354757.9</v>
      </c>
      <c r="JQ32" s="13" t="s">
        <v>30</v>
      </c>
      <c r="JR32" s="14">
        <v>357475.3</v>
      </c>
      <c r="JS32" s="13" t="s">
        <v>30</v>
      </c>
      <c r="JT32" s="14">
        <v>414742.9</v>
      </c>
      <c r="JU32" s="13" t="s">
        <v>30</v>
      </c>
      <c r="JV32" s="14">
        <v>359981.9</v>
      </c>
      <c r="JW32" s="13" t="s">
        <v>30</v>
      </c>
      <c r="JX32" s="14">
        <v>366090.6</v>
      </c>
      <c r="JY32" s="13" t="s">
        <v>30</v>
      </c>
      <c r="JZ32" s="14">
        <v>368878.5</v>
      </c>
      <c r="KA32" s="13" t="s">
        <v>30</v>
      </c>
      <c r="KB32" s="14">
        <v>429162.2</v>
      </c>
      <c r="KC32" s="13" t="s">
        <v>30</v>
      </c>
      <c r="KD32" s="15">
        <v>373255</v>
      </c>
      <c r="KE32" s="13" t="s">
        <v>30</v>
      </c>
      <c r="KF32" s="14">
        <v>385572.6</v>
      </c>
      <c r="KG32" s="13" t="s">
        <v>30</v>
      </c>
      <c r="KH32" s="14">
        <v>392485.1</v>
      </c>
      <c r="KI32" s="13" t="s">
        <v>30</v>
      </c>
      <c r="KJ32" s="14">
        <v>451985.2</v>
      </c>
      <c r="KK32" s="13" t="s">
        <v>30</v>
      </c>
      <c r="KL32" s="14">
        <v>384601.3</v>
      </c>
      <c r="KM32" s="13" t="s">
        <v>30</v>
      </c>
      <c r="KN32" s="14">
        <v>391855.4</v>
      </c>
      <c r="KO32" s="13" t="s">
        <v>30</v>
      </c>
      <c r="KP32" s="14">
        <v>396815.7</v>
      </c>
      <c r="KQ32" s="13" t="s">
        <v>30</v>
      </c>
      <c r="KR32" s="14">
        <v>451541.3</v>
      </c>
      <c r="KS32" s="13" t="s">
        <v>30</v>
      </c>
      <c r="KT32" s="15">
        <v>381646</v>
      </c>
      <c r="KU32" s="13" t="s">
        <v>30</v>
      </c>
      <c r="KV32" s="14">
        <v>395910.5</v>
      </c>
      <c r="KW32" s="13" t="s">
        <v>30</v>
      </c>
      <c r="KX32" s="14">
        <v>401009.3</v>
      </c>
      <c r="KY32" s="13" t="s">
        <v>30</v>
      </c>
      <c r="KZ32" s="15">
        <v>456114</v>
      </c>
      <c r="LA32" s="13" t="s">
        <v>30</v>
      </c>
      <c r="LB32" s="14">
        <v>397818.6</v>
      </c>
      <c r="LC32" s="13" t="s">
        <v>30</v>
      </c>
      <c r="LD32" s="14">
        <v>409292.5</v>
      </c>
      <c r="LE32" s="13" t="s">
        <v>30</v>
      </c>
      <c r="LF32" s="14">
        <v>415962.9</v>
      </c>
      <c r="LG32" s="13" t="s">
        <v>30</v>
      </c>
      <c r="LH32" s="14">
        <v>474216.6</v>
      </c>
      <c r="LI32" s="13" t="s">
        <v>30</v>
      </c>
      <c r="LJ32" s="14">
        <v>411758.2</v>
      </c>
      <c r="LK32" s="13" t="s">
        <v>30</v>
      </c>
      <c r="LL32" s="14">
        <v>425195.4</v>
      </c>
      <c r="LM32" s="13" t="s">
        <v>30</v>
      </c>
      <c r="LN32" s="14">
        <v>435505.4</v>
      </c>
      <c r="LO32" s="13" t="s">
        <v>30</v>
      </c>
      <c r="LP32" s="14">
        <v>502356.8</v>
      </c>
      <c r="LQ32" s="13" t="s">
        <v>30</v>
      </c>
      <c r="LR32" s="15">
        <v>423595</v>
      </c>
      <c r="LS32" s="13" t="s">
        <v>30</v>
      </c>
      <c r="LT32" s="15">
        <v>439820</v>
      </c>
      <c r="LU32" s="13" t="s">
        <v>30</v>
      </c>
      <c r="LV32" s="14">
        <v>443635.6</v>
      </c>
      <c r="LW32" s="13" t="s">
        <v>30</v>
      </c>
      <c r="LX32" s="14">
        <v>519193.4</v>
      </c>
      <c r="LY32" s="13" t="s">
        <v>30</v>
      </c>
      <c r="LZ32" s="14">
        <v>451199.4</v>
      </c>
      <c r="MA32" s="13" t="s">
        <v>30</v>
      </c>
      <c r="MB32" s="14">
        <v>460109.9</v>
      </c>
      <c r="MC32" s="13" t="s">
        <v>30</v>
      </c>
      <c r="MD32" s="14">
        <v>468440.7</v>
      </c>
      <c r="ME32" s="13" t="s">
        <v>30</v>
      </c>
      <c r="MF32" s="14">
        <v>537951.80000000005</v>
      </c>
      <c r="MG32" s="13" t="s">
        <v>30</v>
      </c>
      <c r="MH32" s="14">
        <v>478499.8</v>
      </c>
      <c r="MI32" s="13" t="s">
        <v>30</v>
      </c>
      <c r="MJ32" s="15">
        <v>490771</v>
      </c>
      <c r="MK32" s="13" t="s">
        <v>30</v>
      </c>
      <c r="ML32" s="14">
        <v>500068.6</v>
      </c>
      <c r="MM32" s="13" t="s">
        <v>30</v>
      </c>
      <c r="MN32" s="14">
        <v>568062.9</v>
      </c>
      <c r="MO32" s="13" t="s">
        <v>30</v>
      </c>
      <c r="MP32" s="15">
        <v>502194</v>
      </c>
      <c r="MQ32" s="13" t="s">
        <v>30</v>
      </c>
      <c r="MR32" s="14">
        <v>515106.7</v>
      </c>
      <c r="MS32" s="13" t="s">
        <v>30</v>
      </c>
      <c r="MT32" s="14">
        <v>523544.4</v>
      </c>
      <c r="MU32" s="13" t="s">
        <v>30</v>
      </c>
      <c r="MV32" s="15">
        <v>587840</v>
      </c>
      <c r="MW32" s="13" t="s">
        <v>30</v>
      </c>
      <c r="MX32" s="14">
        <v>515596.79999999999</v>
      </c>
      <c r="MY32" s="13" t="s">
        <v>30</v>
      </c>
      <c r="MZ32" s="14">
        <v>475485.3</v>
      </c>
      <c r="NA32" s="13" t="s">
        <v>30</v>
      </c>
      <c r="NB32" s="14">
        <v>515651.8</v>
      </c>
      <c r="NC32" s="13" t="s">
        <v>30</v>
      </c>
      <c r="ND32" s="14">
        <v>578095.19999999995</v>
      </c>
      <c r="NE32" s="13" t="s">
        <v>30</v>
      </c>
      <c r="NF32" s="14">
        <v>515192.2</v>
      </c>
      <c r="NG32" s="13" t="s">
        <v>30</v>
      </c>
      <c r="NH32" s="14">
        <v>527903.6</v>
      </c>
      <c r="NI32" s="13" t="s">
        <v>30</v>
      </c>
      <c r="NJ32" s="14">
        <v>549046.19999999995</v>
      </c>
      <c r="NK32" s="13" t="s">
        <v>30</v>
      </c>
      <c r="NL32" s="15">
        <v>630897</v>
      </c>
      <c r="NM32" s="13" t="s">
        <v>30</v>
      </c>
      <c r="NN32" s="15">
        <v>563631</v>
      </c>
      <c r="NO32" s="13" t="s">
        <v>30</v>
      </c>
      <c r="NP32" s="15">
        <v>558489</v>
      </c>
      <c r="NQ32" s="13" t="s">
        <v>30</v>
      </c>
      <c r="NR32" s="15">
        <v>582879</v>
      </c>
      <c r="NS32" s="13" t="s">
        <v>30</v>
      </c>
      <c r="NT32" s="14">
        <v>639328.6</v>
      </c>
      <c r="NU32" s="13" t="s">
        <v>30</v>
      </c>
      <c r="NV32" s="14">
        <v>563232.9</v>
      </c>
      <c r="NW32" s="13" t="s">
        <v>30</v>
      </c>
      <c r="NX32" s="15">
        <v>558446</v>
      </c>
      <c r="NY32" s="13" t="s">
        <v>30</v>
      </c>
      <c r="NZ32" s="14">
        <v>591790.9</v>
      </c>
      <c r="OA32" s="13" t="s">
        <v>30</v>
      </c>
      <c r="OB32" s="15">
        <v>661423</v>
      </c>
      <c r="OC32" s="13" t="s">
        <v>30</v>
      </c>
      <c r="OD32" s="14">
        <v>569280.19999999995</v>
      </c>
      <c r="OE32" s="13" t="s">
        <v>30</v>
      </c>
      <c r="OF32" s="15">
        <v>581442</v>
      </c>
      <c r="OG32" s="13" t="s">
        <v>30</v>
      </c>
      <c r="OH32" s="14">
        <v>593521.19999999995</v>
      </c>
      <c r="OI32" s="13" t="s">
        <v>30</v>
      </c>
      <c r="OJ32" s="14">
        <v>679844.6</v>
      </c>
      <c r="OK32" s="13" t="s">
        <v>30</v>
      </c>
      <c r="OL32" s="14">
        <v>581062.19999999995</v>
      </c>
      <c r="OM32" s="13" t="s">
        <v>30</v>
      </c>
      <c r="ON32" s="14">
        <v>594051.5</v>
      </c>
      <c r="OO32" s="13" t="s">
        <v>30</v>
      </c>
      <c r="OP32" s="13" t="s">
        <v>235</v>
      </c>
      <c r="OQ32" s="13" t="s">
        <v>30</v>
      </c>
    </row>
    <row r="33" spans="1:407" x14ac:dyDescent="0.3">
      <c r="A33" s="12" t="s">
        <v>258</v>
      </c>
      <c r="B33" s="16" t="s">
        <v>235</v>
      </c>
      <c r="C33" s="16" t="s">
        <v>30</v>
      </c>
      <c r="D33" s="16" t="s">
        <v>235</v>
      </c>
      <c r="E33" s="16" t="s">
        <v>30</v>
      </c>
      <c r="F33" s="16" t="s">
        <v>235</v>
      </c>
      <c r="G33" s="16" t="s">
        <v>30</v>
      </c>
      <c r="H33" s="16" t="s">
        <v>235</v>
      </c>
      <c r="I33" s="16" t="s">
        <v>30</v>
      </c>
      <c r="J33" s="16" t="s">
        <v>235</v>
      </c>
      <c r="K33" s="16" t="s">
        <v>30</v>
      </c>
      <c r="L33" s="16" t="s">
        <v>235</v>
      </c>
      <c r="M33" s="16" t="s">
        <v>30</v>
      </c>
      <c r="N33" s="16" t="s">
        <v>235</v>
      </c>
      <c r="O33" s="16" t="s">
        <v>30</v>
      </c>
      <c r="P33" s="16" t="s">
        <v>235</v>
      </c>
      <c r="Q33" s="16" t="s">
        <v>30</v>
      </c>
      <c r="R33" s="16" t="s">
        <v>235</v>
      </c>
      <c r="S33" s="16" t="s">
        <v>30</v>
      </c>
      <c r="T33" s="16" t="s">
        <v>235</v>
      </c>
      <c r="U33" s="16" t="s">
        <v>30</v>
      </c>
      <c r="V33" s="16" t="s">
        <v>235</v>
      </c>
      <c r="W33" s="16" t="s">
        <v>30</v>
      </c>
      <c r="X33" s="16" t="s">
        <v>235</v>
      </c>
      <c r="Y33" s="16" t="s">
        <v>30</v>
      </c>
      <c r="Z33" s="16" t="s">
        <v>235</v>
      </c>
      <c r="AA33" s="16" t="s">
        <v>30</v>
      </c>
      <c r="AB33" s="16" t="s">
        <v>235</v>
      </c>
      <c r="AC33" s="16" t="s">
        <v>30</v>
      </c>
      <c r="AD33" s="16" t="s">
        <v>235</v>
      </c>
      <c r="AE33" s="16" t="s">
        <v>30</v>
      </c>
      <c r="AF33" s="16" t="s">
        <v>235</v>
      </c>
      <c r="AG33" s="16" t="s">
        <v>30</v>
      </c>
      <c r="AH33" s="16" t="s">
        <v>235</v>
      </c>
      <c r="AI33" s="16" t="s">
        <v>30</v>
      </c>
      <c r="AJ33" s="16" t="s">
        <v>235</v>
      </c>
      <c r="AK33" s="16" t="s">
        <v>30</v>
      </c>
      <c r="AL33" s="16" t="s">
        <v>235</v>
      </c>
      <c r="AM33" s="16" t="s">
        <v>30</v>
      </c>
      <c r="AN33" s="16" t="s">
        <v>235</v>
      </c>
      <c r="AO33" s="16" t="s">
        <v>30</v>
      </c>
      <c r="AP33" s="16" t="s">
        <v>235</v>
      </c>
      <c r="AQ33" s="16" t="s">
        <v>30</v>
      </c>
      <c r="AR33" s="16" t="s">
        <v>235</v>
      </c>
      <c r="AS33" s="16" t="s">
        <v>30</v>
      </c>
      <c r="AT33" s="16" t="s">
        <v>235</v>
      </c>
      <c r="AU33" s="16" t="s">
        <v>30</v>
      </c>
      <c r="AV33" s="16" t="s">
        <v>235</v>
      </c>
      <c r="AW33" s="16" t="s">
        <v>30</v>
      </c>
      <c r="AX33" s="16" t="s">
        <v>235</v>
      </c>
      <c r="AY33" s="16" t="s">
        <v>30</v>
      </c>
      <c r="AZ33" s="16" t="s">
        <v>235</v>
      </c>
      <c r="BA33" s="16" t="s">
        <v>30</v>
      </c>
      <c r="BB33" s="16" t="s">
        <v>235</v>
      </c>
      <c r="BC33" s="16" t="s">
        <v>30</v>
      </c>
      <c r="BD33" s="16" t="s">
        <v>235</v>
      </c>
      <c r="BE33" s="16" t="s">
        <v>30</v>
      </c>
      <c r="BF33" s="16" t="s">
        <v>235</v>
      </c>
      <c r="BG33" s="16" t="s">
        <v>30</v>
      </c>
      <c r="BH33" s="16" t="s">
        <v>235</v>
      </c>
      <c r="BI33" s="16" t="s">
        <v>30</v>
      </c>
      <c r="BJ33" s="16" t="s">
        <v>235</v>
      </c>
      <c r="BK33" s="16" t="s">
        <v>30</v>
      </c>
      <c r="BL33" s="16" t="s">
        <v>235</v>
      </c>
      <c r="BM33" s="16" t="s">
        <v>30</v>
      </c>
      <c r="BN33" s="16" t="s">
        <v>235</v>
      </c>
      <c r="BO33" s="16" t="s">
        <v>30</v>
      </c>
      <c r="BP33" s="16" t="s">
        <v>235</v>
      </c>
      <c r="BQ33" s="16" t="s">
        <v>30</v>
      </c>
      <c r="BR33" s="16" t="s">
        <v>235</v>
      </c>
      <c r="BS33" s="16" t="s">
        <v>30</v>
      </c>
      <c r="BT33" s="16" t="s">
        <v>235</v>
      </c>
      <c r="BU33" s="16" t="s">
        <v>30</v>
      </c>
      <c r="BV33" s="16" t="s">
        <v>235</v>
      </c>
      <c r="BW33" s="16" t="s">
        <v>30</v>
      </c>
      <c r="BX33" s="16" t="s">
        <v>235</v>
      </c>
      <c r="BY33" s="16" t="s">
        <v>30</v>
      </c>
      <c r="BZ33" s="16" t="s">
        <v>235</v>
      </c>
      <c r="CA33" s="16" t="s">
        <v>30</v>
      </c>
      <c r="CB33" s="16" t="s">
        <v>235</v>
      </c>
      <c r="CC33" s="16" t="s">
        <v>30</v>
      </c>
      <c r="CD33" s="16" t="s">
        <v>235</v>
      </c>
      <c r="CE33" s="16" t="s">
        <v>30</v>
      </c>
      <c r="CF33" s="16" t="s">
        <v>235</v>
      </c>
      <c r="CG33" s="16" t="s">
        <v>30</v>
      </c>
      <c r="CH33" s="16" t="s">
        <v>235</v>
      </c>
      <c r="CI33" s="16" t="s">
        <v>30</v>
      </c>
      <c r="CJ33" s="16" t="s">
        <v>235</v>
      </c>
      <c r="CK33" s="16" t="s">
        <v>30</v>
      </c>
      <c r="CL33" s="16" t="s">
        <v>235</v>
      </c>
      <c r="CM33" s="16" t="s">
        <v>30</v>
      </c>
      <c r="CN33" s="16" t="s">
        <v>235</v>
      </c>
      <c r="CO33" s="16" t="s">
        <v>30</v>
      </c>
      <c r="CP33" s="16" t="s">
        <v>235</v>
      </c>
      <c r="CQ33" s="16" t="s">
        <v>30</v>
      </c>
      <c r="CR33" s="16" t="s">
        <v>235</v>
      </c>
      <c r="CS33" s="16" t="s">
        <v>30</v>
      </c>
      <c r="CT33" s="16" t="s">
        <v>235</v>
      </c>
      <c r="CU33" s="16" t="s">
        <v>30</v>
      </c>
      <c r="CV33" s="16" t="s">
        <v>235</v>
      </c>
      <c r="CW33" s="16" t="s">
        <v>30</v>
      </c>
      <c r="CX33" s="16" t="s">
        <v>235</v>
      </c>
      <c r="CY33" s="16" t="s">
        <v>30</v>
      </c>
      <c r="CZ33" s="16" t="s">
        <v>235</v>
      </c>
      <c r="DA33" s="16" t="s">
        <v>30</v>
      </c>
      <c r="DB33" s="16" t="s">
        <v>235</v>
      </c>
      <c r="DC33" s="16" t="s">
        <v>30</v>
      </c>
      <c r="DD33" s="16" t="s">
        <v>235</v>
      </c>
      <c r="DE33" s="16" t="s">
        <v>30</v>
      </c>
      <c r="DF33" s="16" t="s">
        <v>235</v>
      </c>
      <c r="DG33" s="16" t="s">
        <v>30</v>
      </c>
      <c r="DH33" s="16" t="s">
        <v>235</v>
      </c>
      <c r="DI33" s="16" t="s">
        <v>30</v>
      </c>
      <c r="DJ33" s="16" t="s">
        <v>235</v>
      </c>
      <c r="DK33" s="16" t="s">
        <v>30</v>
      </c>
      <c r="DL33" s="16" t="s">
        <v>235</v>
      </c>
      <c r="DM33" s="16" t="s">
        <v>30</v>
      </c>
      <c r="DN33" s="16" t="s">
        <v>235</v>
      </c>
      <c r="DO33" s="16" t="s">
        <v>30</v>
      </c>
      <c r="DP33" s="16" t="s">
        <v>235</v>
      </c>
      <c r="DQ33" s="16" t="s">
        <v>30</v>
      </c>
      <c r="DR33" s="16" t="s">
        <v>235</v>
      </c>
      <c r="DS33" s="16" t="s">
        <v>30</v>
      </c>
      <c r="DT33" s="16" t="s">
        <v>235</v>
      </c>
      <c r="DU33" s="16" t="s">
        <v>30</v>
      </c>
      <c r="DV33" s="16" t="s">
        <v>235</v>
      </c>
      <c r="DW33" s="16" t="s">
        <v>30</v>
      </c>
      <c r="DX33" s="16" t="s">
        <v>235</v>
      </c>
      <c r="DY33" s="16" t="s">
        <v>30</v>
      </c>
      <c r="DZ33" s="16" t="s">
        <v>235</v>
      </c>
      <c r="EA33" s="16" t="s">
        <v>30</v>
      </c>
      <c r="EB33" s="16" t="s">
        <v>235</v>
      </c>
      <c r="EC33" s="16" t="s">
        <v>30</v>
      </c>
      <c r="ED33" s="16" t="s">
        <v>235</v>
      </c>
      <c r="EE33" s="16" t="s">
        <v>30</v>
      </c>
      <c r="EF33" s="16" t="s">
        <v>235</v>
      </c>
      <c r="EG33" s="16" t="s">
        <v>30</v>
      </c>
      <c r="EH33" s="16" t="s">
        <v>235</v>
      </c>
      <c r="EI33" s="16" t="s">
        <v>30</v>
      </c>
      <c r="EJ33" s="16" t="s">
        <v>235</v>
      </c>
      <c r="EK33" s="16" t="s">
        <v>30</v>
      </c>
      <c r="EL33" s="16" t="s">
        <v>235</v>
      </c>
      <c r="EM33" s="16" t="s">
        <v>30</v>
      </c>
      <c r="EN33" s="16" t="s">
        <v>235</v>
      </c>
      <c r="EO33" s="16" t="s">
        <v>30</v>
      </c>
      <c r="EP33" s="16" t="s">
        <v>235</v>
      </c>
      <c r="EQ33" s="16" t="s">
        <v>30</v>
      </c>
      <c r="ER33" s="16" t="s">
        <v>235</v>
      </c>
      <c r="ES33" s="16" t="s">
        <v>30</v>
      </c>
      <c r="ET33" s="16" t="s">
        <v>235</v>
      </c>
      <c r="EU33" s="16" t="s">
        <v>30</v>
      </c>
      <c r="EV33" s="16" t="s">
        <v>235</v>
      </c>
      <c r="EW33" s="16" t="s">
        <v>30</v>
      </c>
      <c r="EX33" s="16" t="s">
        <v>235</v>
      </c>
      <c r="EY33" s="16" t="s">
        <v>30</v>
      </c>
      <c r="EZ33" s="16" t="s">
        <v>235</v>
      </c>
      <c r="FA33" s="16" t="s">
        <v>30</v>
      </c>
      <c r="FB33" s="16" t="s">
        <v>235</v>
      </c>
      <c r="FC33" s="16" t="s">
        <v>30</v>
      </c>
      <c r="FD33" s="16" t="s">
        <v>235</v>
      </c>
      <c r="FE33" s="16" t="s">
        <v>30</v>
      </c>
      <c r="FF33" s="17">
        <v>33479.699999999997</v>
      </c>
      <c r="FG33" s="16" t="s">
        <v>30</v>
      </c>
      <c r="FH33" s="17">
        <v>34023.4</v>
      </c>
      <c r="FI33" s="16" t="s">
        <v>30</v>
      </c>
      <c r="FJ33" s="17">
        <v>33969.1</v>
      </c>
      <c r="FK33" s="16" t="s">
        <v>30</v>
      </c>
      <c r="FL33" s="17">
        <v>34479.4</v>
      </c>
      <c r="FM33" s="16" t="s">
        <v>30</v>
      </c>
      <c r="FN33" s="17">
        <v>34324.9</v>
      </c>
      <c r="FO33" s="16" t="s">
        <v>30</v>
      </c>
      <c r="FP33" s="18">
        <v>35033</v>
      </c>
      <c r="FQ33" s="16" t="s">
        <v>30</v>
      </c>
      <c r="FR33" s="17">
        <v>35141.300000000003</v>
      </c>
      <c r="FS33" s="16" t="s">
        <v>30</v>
      </c>
      <c r="FT33" s="17">
        <v>35715.199999999997</v>
      </c>
      <c r="FU33" s="16" t="s">
        <v>30</v>
      </c>
      <c r="FV33" s="17">
        <v>35856.199999999997</v>
      </c>
      <c r="FW33" s="16" t="s">
        <v>30</v>
      </c>
      <c r="FX33" s="17">
        <v>36624.5</v>
      </c>
      <c r="FY33" s="16" t="s">
        <v>30</v>
      </c>
      <c r="FZ33" s="17">
        <v>36585.9</v>
      </c>
      <c r="GA33" s="16" t="s">
        <v>30</v>
      </c>
      <c r="GB33" s="17">
        <v>37212.400000000001</v>
      </c>
      <c r="GC33" s="16" t="s">
        <v>30</v>
      </c>
      <c r="GD33" s="17">
        <v>37462.400000000001</v>
      </c>
      <c r="GE33" s="16" t="s">
        <v>30</v>
      </c>
      <c r="GF33" s="17">
        <v>38120.699999999997</v>
      </c>
      <c r="GG33" s="16" t="s">
        <v>30</v>
      </c>
      <c r="GH33" s="17">
        <v>37996.9</v>
      </c>
      <c r="GI33" s="16" t="s">
        <v>30</v>
      </c>
      <c r="GJ33" s="18">
        <v>38573</v>
      </c>
      <c r="GK33" s="16" t="s">
        <v>30</v>
      </c>
      <c r="GL33" s="17">
        <v>38653.5</v>
      </c>
      <c r="GM33" s="16" t="s">
        <v>30</v>
      </c>
      <c r="GN33" s="17">
        <v>39183.5</v>
      </c>
      <c r="GO33" s="16" t="s">
        <v>30</v>
      </c>
      <c r="GP33" s="17">
        <v>39266.6</v>
      </c>
      <c r="GQ33" s="16" t="s">
        <v>30</v>
      </c>
      <c r="GR33" s="17">
        <v>40071.4</v>
      </c>
      <c r="GS33" s="16" t="s">
        <v>30</v>
      </c>
      <c r="GT33" s="17">
        <v>40251.4</v>
      </c>
      <c r="GU33" s="16" t="s">
        <v>30</v>
      </c>
      <c r="GV33" s="17">
        <v>40565.699999999997</v>
      </c>
      <c r="GW33" s="16" t="s">
        <v>30</v>
      </c>
      <c r="GX33" s="17">
        <v>40788.6</v>
      </c>
      <c r="GY33" s="16" t="s">
        <v>30</v>
      </c>
      <c r="GZ33" s="17">
        <v>41397.599999999999</v>
      </c>
      <c r="HA33" s="16" t="s">
        <v>30</v>
      </c>
      <c r="HB33" s="18">
        <v>41040</v>
      </c>
      <c r="HC33" s="16" t="s">
        <v>30</v>
      </c>
      <c r="HD33" s="17">
        <v>41800.400000000001</v>
      </c>
      <c r="HE33" s="16" t="s">
        <v>30</v>
      </c>
      <c r="HF33" s="17">
        <v>41540.9</v>
      </c>
      <c r="HG33" s="16" t="s">
        <v>30</v>
      </c>
      <c r="HH33" s="17">
        <v>42258.8</v>
      </c>
      <c r="HI33" s="16" t="s">
        <v>30</v>
      </c>
      <c r="HJ33" s="17">
        <v>41796.300000000003</v>
      </c>
      <c r="HK33" s="16" t="s">
        <v>30</v>
      </c>
      <c r="HL33" s="17">
        <v>42331.7</v>
      </c>
      <c r="HM33" s="16" t="s">
        <v>30</v>
      </c>
      <c r="HN33" s="17">
        <v>41768.9</v>
      </c>
      <c r="HO33" s="16" t="s">
        <v>30</v>
      </c>
      <c r="HP33" s="17">
        <v>41853.5</v>
      </c>
      <c r="HQ33" s="16" t="s">
        <v>30</v>
      </c>
      <c r="HR33" s="17">
        <v>41303.199999999997</v>
      </c>
      <c r="HS33" s="16" t="s">
        <v>30</v>
      </c>
      <c r="HT33" s="17">
        <v>41568.300000000003</v>
      </c>
      <c r="HU33" s="16" t="s">
        <v>30</v>
      </c>
      <c r="HV33" s="17">
        <v>41513.9</v>
      </c>
      <c r="HW33" s="16" t="s">
        <v>30</v>
      </c>
      <c r="HX33" s="17">
        <v>41974.6</v>
      </c>
      <c r="HY33" s="16" t="s">
        <v>30</v>
      </c>
      <c r="HZ33" s="17">
        <v>41894.1</v>
      </c>
      <c r="IA33" s="16" t="s">
        <v>30</v>
      </c>
      <c r="IB33" s="17">
        <v>42552.2</v>
      </c>
      <c r="IC33" s="16" t="s">
        <v>30</v>
      </c>
      <c r="ID33" s="17">
        <v>42232.3</v>
      </c>
      <c r="IE33" s="16" t="s">
        <v>30</v>
      </c>
      <c r="IF33" s="17">
        <v>42436.5</v>
      </c>
      <c r="IG33" s="16" t="s">
        <v>30</v>
      </c>
      <c r="IH33" s="17">
        <v>42131.6</v>
      </c>
      <c r="II33" s="16" t="s">
        <v>30</v>
      </c>
      <c r="IJ33" s="17">
        <v>42755.1</v>
      </c>
      <c r="IK33" s="16" t="s">
        <v>30</v>
      </c>
      <c r="IL33" s="17">
        <v>42320.800000000003</v>
      </c>
      <c r="IM33" s="16" t="s">
        <v>30</v>
      </c>
      <c r="IN33" s="18">
        <v>42732</v>
      </c>
      <c r="IO33" s="16" t="s">
        <v>30</v>
      </c>
      <c r="IP33" s="17">
        <v>42317.2</v>
      </c>
      <c r="IQ33" s="16" t="s">
        <v>30</v>
      </c>
      <c r="IR33" s="18">
        <v>43146</v>
      </c>
      <c r="IS33" s="16" t="s">
        <v>30</v>
      </c>
      <c r="IT33" s="17">
        <v>43433.599999999999</v>
      </c>
      <c r="IU33" s="16" t="s">
        <v>30</v>
      </c>
      <c r="IV33" s="17">
        <v>43811.5</v>
      </c>
      <c r="IW33" s="16" t="s">
        <v>30</v>
      </c>
      <c r="IX33" s="17">
        <v>43567.4</v>
      </c>
      <c r="IY33" s="16" t="s">
        <v>30</v>
      </c>
      <c r="IZ33" s="17">
        <v>44377.9</v>
      </c>
      <c r="JA33" s="16" t="s">
        <v>30</v>
      </c>
      <c r="JB33" s="17">
        <v>44434.5</v>
      </c>
      <c r="JC33" s="16" t="s">
        <v>30</v>
      </c>
      <c r="JD33" s="17">
        <v>45207.4</v>
      </c>
      <c r="JE33" s="16" t="s">
        <v>30</v>
      </c>
      <c r="JF33" s="17">
        <v>44408.5</v>
      </c>
      <c r="JG33" s="16" t="s">
        <v>30</v>
      </c>
      <c r="JH33" s="17">
        <v>45091.1</v>
      </c>
      <c r="JI33" s="16" t="s">
        <v>30</v>
      </c>
      <c r="JJ33" s="18">
        <v>44847</v>
      </c>
      <c r="JK33" s="16" t="s">
        <v>30</v>
      </c>
      <c r="JL33" s="18">
        <v>44385</v>
      </c>
      <c r="JM33" s="16" t="s">
        <v>30</v>
      </c>
      <c r="JN33" s="17">
        <v>42878.6</v>
      </c>
      <c r="JO33" s="16" t="s">
        <v>30</v>
      </c>
      <c r="JP33" s="17">
        <v>43561.4</v>
      </c>
      <c r="JQ33" s="16" t="s">
        <v>30</v>
      </c>
      <c r="JR33" s="17">
        <v>43792.6</v>
      </c>
      <c r="JS33" s="16" t="s">
        <v>30</v>
      </c>
      <c r="JT33" s="17">
        <v>43838.400000000001</v>
      </c>
      <c r="JU33" s="16" t="s">
        <v>30</v>
      </c>
      <c r="JV33" s="17">
        <v>43326.400000000001</v>
      </c>
      <c r="JW33" s="16" t="s">
        <v>30</v>
      </c>
      <c r="JX33" s="17">
        <v>44358.2</v>
      </c>
      <c r="JY33" s="16" t="s">
        <v>30</v>
      </c>
      <c r="JZ33" s="17">
        <v>44743.6</v>
      </c>
      <c r="KA33" s="16" t="s">
        <v>30</v>
      </c>
      <c r="KB33" s="17">
        <v>44335.9</v>
      </c>
      <c r="KC33" s="16" t="s">
        <v>30</v>
      </c>
      <c r="KD33" s="17">
        <v>43574.8</v>
      </c>
      <c r="KE33" s="16" t="s">
        <v>30</v>
      </c>
      <c r="KF33" s="18">
        <v>44150</v>
      </c>
      <c r="KG33" s="16" t="s">
        <v>30</v>
      </c>
      <c r="KH33" s="17">
        <v>44065.2</v>
      </c>
      <c r="KI33" s="16" t="s">
        <v>30</v>
      </c>
      <c r="KJ33" s="17">
        <v>43182.2</v>
      </c>
      <c r="KK33" s="16" t="s">
        <v>30</v>
      </c>
      <c r="KL33" s="17">
        <v>42277.3</v>
      </c>
      <c r="KM33" s="16" t="s">
        <v>30</v>
      </c>
      <c r="KN33" s="17">
        <v>42377.4</v>
      </c>
      <c r="KO33" s="16" t="s">
        <v>30</v>
      </c>
      <c r="KP33" s="17">
        <v>42692.3</v>
      </c>
      <c r="KQ33" s="16" t="s">
        <v>30</v>
      </c>
      <c r="KR33" s="17">
        <v>41965.3</v>
      </c>
      <c r="KS33" s="16" t="s">
        <v>30</v>
      </c>
      <c r="KT33" s="17">
        <v>41200.9</v>
      </c>
      <c r="KU33" s="16" t="s">
        <v>30</v>
      </c>
      <c r="KV33" s="17">
        <v>42242.1</v>
      </c>
      <c r="KW33" s="16" t="s">
        <v>30</v>
      </c>
      <c r="KX33" s="17">
        <v>42536.800000000003</v>
      </c>
      <c r="KY33" s="16" t="s">
        <v>30</v>
      </c>
      <c r="KZ33" s="17">
        <v>42255.5</v>
      </c>
      <c r="LA33" s="16" t="s">
        <v>30</v>
      </c>
      <c r="LB33" s="17">
        <v>41365.9</v>
      </c>
      <c r="LC33" s="16" t="s">
        <v>30</v>
      </c>
      <c r="LD33" s="17">
        <v>42490.2</v>
      </c>
      <c r="LE33" s="16" t="s">
        <v>30</v>
      </c>
      <c r="LF33" s="17">
        <v>42638.3</v>
      </c>
      <c r="LG33" s="16" t="s">
        <v>30</v>
      </c>
      <c r="LH33" s="17">
        <v>42208.1</v>
      </c>
      <c r="LI33" s="16" t="s">
        <v>30</v>
      </c>
      <c r="LJ33" s="17">
        <v>41801.1</v>
      </c>
      <c r="LK33" s="16" t="s">
        <v>30</v>
      </c>
      <c r="LL33" s="17">
        <v>43029.1</v>
      </c>
      <c r="LM33" s="16" t="s">
        <v>30</v>
      </c>
      <c r="LN33" s="17">
        <v>43219.7</v>
      </c>
      <c r="LO33" s="16" t="s">
        <v>30</v>
      </c>
      <c r="LP33" s="17">
        <v>42940.4</v>
      </c>
      <c r="LQ33" s="16" t="s">
        <v>30</v>
      </c>
      <c r="LR33" s="17">
        <v>42484.3</v>
      </c>
      <c r="LS33" s="16" t="s">
        <v>30</v>
      </c>
      <c r="LT33" s="17">
        <v>43561.9</v>
      </c>
      <c r="LU33" s="16" t="s">
        <v>30</v>
      </c>
      <c r="LV33" s="17">
        <v>43962.2</v>
      </c>
      <c r="LW33" s="16" t="s">
        <v>30</v>
      </c>
      <c r="LX33" s="17">
        <v>43935.1</v>
      </c>
      <c r="LY33" s="16" t="s">
        <v>30</v>
      </c>
      <c r="LZ33" s="17">
        <v>43805.9</v>
      </c>
      <c r="MA33" s="16" t="s">
        <v>30</v>
      </c>
      <c r="MB33" s="17">
        <v>44939.6</v>
      </c>
      <c r="MC33" s="16" t="s">
        <v>30</v>
      </c>
      <c r="MD33" s="18">
        <v>45370</v>
      </c>
      <c r="ME33" s="16" t="s">
        <v>30</v>
      </c>
      <c r="MF33" s="17">
        <v>45329.8</v>
      </c>
      <c r="MG33" s="16" t="s">
        <v>30</v>
      </c>
      <c r="MH33" s="17">
        <v>45024.1</v>
      </c>
      <c r="MI33" s="16" t="s">
        <v>30</v>
      </c>
      <c r="MJ33" s="18">
        <v>46395</v>
      </c>
      <c r="MK33" s="16" t="s">
        <v>30</v>
      </c>
      <c r="ML33" s="17">
        <v>46571.7</v>
      </c>
      <c r="MM33" s="16" t="s">
        <v>30</v>
      </c>
      <c r="MN33" s="17">
        <v>46632.4</v>
      </c>
      <c r="MO33" s="16" t="s">
        <v>30</v>
      </c>
      <c r="MP33" s="18">
        <v>46551</v>
      </c>
      <c r="MQ33" s="16" t="s">
        <v>30</v>
      </c>
      <c r="MR33" s="17">
        <v>47756.1</v>
      </c>
      <c r="MS33" s="16" t="s">
        <v>30</v>
      </c>
      <c r="MT33" s="17">
        <v>47806.400000000001</v>
      </c>
      <c r="MU33" s="16" t="s">
        <v>30</v>
      </c>
      <c r="MV33" s="17">
        <v>47521.2</v>
      </c>
      <c r="MW33" s="16" t="s">
        <v>30</v>
      </c>
      <c r="MX33" s="17">
        <v>45552.2</v>
      </c>
      <c r="MY33" s="16" t="s">
        <v>30</v>
      </c>
      <c r="MZ33" s="17">
        <v>39760.199999999997</v>
      </c>
      <c r="NA33" s="16" t="s">
        <v>30</v>
      </c>
      <c r="NB33" s="17">
        <v>44999.5</v>
      </c>
      <c r="NC33" s="16" t="s">
        <v>30</v>
      </c>
      <c r="ND33" s="17">
        <v>44792.4</v>
      </c>
      <c r="NE33" s="16" t="s">
        <v>30</v>
      </c>
      <c r="NF33" s="17">
        <v>43400.4</v>
      </c>
      <c r="NG33" s="16" t="s">
        <v>30</v>
      </c>
      <c r="NH33" s="18">
        <v>45712</v>
      </c>
      <c r="NI33" s="16" t="s">
        <v>30</v>
      </c>
      <c r="NJ33" s="17">
        <v>47152.9</v>
      </c>
      <c r="NK33" s="16" t="s">
        <v>30</v>
      </c>
      <c r="NL33" s="17">
        <v>48146.6</v>
      </c>
      <c r="NM33" s="16" t="s">
        <v>30</v>
      </c>
      <c r="NN33" s="17">
        <v>47232.3</v>
      </c>
      <c r="NO33" s="16" t="s">
        <v>30</v>
      </c>
      <c r="NP33" s="17">
        <v>49386.6</v>
      </c>
      <c r="NQ33" s="16" t="s">
        <v>30</v>
      </c>
      <c r="NR33" s="17">
        <v>50060.800000000003</v>
      </c>
      <c r="NS33" s="16" t="s">
        <v>30</v>
      </c>
      <c r="NT33" s="17">
        <v>50482.5</v>
      </c>
      <c r="NU33" s="16" t="s">
        <v>30</v>
      </c>
      <c r="NV33" s="17">
        <v>49170.2</v>
      </c>
      <c r="NW33" s="16" t="s">
        <v>30</v>
      </c>
      <c r="NX33" s="17">
        <v>50913.2</v>
      </c>
      <c r="NY33" s="16" t="s">
        <v>30</v>
      </c>
      <c r="NZ33" s="18">
        <v>51458</v>
      </c>
      <c r="OA33" s="16" t="s">
        <v>30</v>
      </c>
      <c r="OB33" s="17">
        <v>51701.3</v>
      </c>
      <c r="OC33" s="16" t="s">
        <v>30</v>
      </c>
      <c r="OD33" s="17">
        <v>49750.9</v>
      </c>
      <c r="OE33" s="16" t="s">
        <v>237</v>
      </c>
      <c r="OF33" s="17">
        <v>51833.9</v>
      </c>
      <c r="OG33" s="16" t="s">
        <v>237</v>
      </c>
      <c r="OH33" s="17">
        <v>52544.4</v>
      </c>
      <c r="OI33" s="16" t="s">
        <v>237</v>
      </c>
      <c r="OJ33" s="17">
        <v>53138.9</v>
      </c>
      <c r="OK33" s="16" t="s">
        <v>237</v>
      </c>
      <c r="OL33" s="17">
        <v>50623.9</v>
      </c>
      <c r="OM33" s="16" t="s">
        <v>237</v>
      </c>
      <c r="ON33" s="17">
        <v>52783.199999999997</v>
      </c>
      <c r="OO33" s="16" t="s">
        <v>237</v>
      </c>
      <c r="OP33" s="16" t="s">
        <v>235</v>
      </c>
      <c r="OQ33" s="16" t="s">
        <v>30</v>
      </c>
    </row>
    <row r="34" spans="1:407" x14ac:dyDescent="0.3">
      <c r="A34" s="12" t="s">
        <v>259</v>
      </c>
      <c r="B34" s="13" t="s">
        <v>235</v>
      </c>
      <c r="C34" s="13" t="s">
        <v>30</v>
      </c>
      <c r="D34" s="13" t="s">
        <v>235</v>
      </c>
      <c r="E34" s="13" t="s">
        <v>30</v>
      </c>
      <c r="F34" s="13" t="s">
        <v>235</v>
      </c>
      <c r="G34" s="13" t="s">
        <v>30</v>
      </c>
      <c r="H34" s="13" t="s">
        <v>235</v>
      </c>
      <c r="I34" s="13" t="s">
        <v>30</v>
      </c>
      <c r="J34" s="13" t="s">
        <v>235</v>
      </c>
      <c r="K34" s="13" t="s">
        <v>30</v>
      </c>
      <c r="L34" s="13" t="s">
        <v>235</v>
      </c>
      <c r="M34" s="13" t="s">
        <v>30</v>
      </c>
      <c r="N34" s="13" t="s">
        <v>235</v>
      </c>
      <c r="O34" s="13" t="s">
        <v>30</v>
      </c>
      <c r="P34" s="13" t="s">
        <v>235</v>
      </c>
      <c r="Q34" s="13" t="s">
        <v>30</v>
      </c>
      <c r="R34" s="13" t="s">
        <v>235</v>
      </c>
      <c r="S34" s="13" t="s">
        <v>30</v>
      </c>
      <c r="T34" s="13" t="s">
        <v>235</v>
      </c>
      <c r="U34" s="13" t="s">
        <v>30</v>
      </c>
      <c r="V34" s="13" t="s">
        <v>235</v>
      </c>
      <c r="W34" s="13" t="s">
        <v>30</v>
      </c>
      <c r="X34" s="13" t="s">
        <v>235</v>
      </c>
      <c r="Y34" s="13" t="s">
        <v>30</v>
      </c>
      <c r="Z34" s="13" t="s">
        <v>235</v>
      </c>
      <c r="AA34" s="13" t="s">
        <v>30</v>
      </c>
      <c r="AB34" s="13" t="s">
        <v>235</v>
      </c>
      <c r="AC34" s="13" t="s">
        <v>30</v>
      </c>
      <c r="AD34" s="13" t="s">
        <v>235</v>
      </c>
      <c r="AE34" s="13" t="s">
        <v>30</v>
      </c>
      <c r="AF34" s="13" t="s">
        <v>235</v>
      </c>
      <c r="AG34" s="13" t="s">
        <v>30</v>
      </c>
      <c r="AH34" s="13" t="s">
        <v>235</v>
      </c>
      <c r="AI34" s="13" t="s">
        <v>30</v>
      </c>
      <c r="AJ34" s="13" t="s">
        <v>235</v>
      </c>
      <c r="AK34" s="13" t="s">
        <v>30</v>
      </c>
      <c r="AL34" s="13" t="s">
        <v>235</v>
      </c>
      <c r="AM34" s="13" t="s">
        <v>30</v>
      </c>
      <c r="AN34" s="13" t="s">
        <v>235</v>
      </c>
      <c r="AO34" s="13" t="s">
        <v>30</v>
      </c>
      <c r="AP34" s="13" t="s">
        <v>235</v>
      </c>
      <c r="AQ34" s="13" t="s">
        <v>30</v>
      </c>
      <c r="AR34" s="13" t="s">
        <v>235</v>
      </c>
      <c r="AS34" s="13" t="s">
        <v>30</v>
      </c>
      <c r="AT34" s="13" t="s">
        <v>235</v>
      </c>
      <c r="AU34" s="13" t="s">
        <v>30</v>
      </c>
      <c r="AV34" s="13" t="s">
        <v>235</v>
      </c>
      <c r="AW34" s="13" t="s">
        <v>30</v>
      </c>
      <c r="AX34" s="13" t="s">
        <v>235</v>
      </c>
      <c r="AY34" s="13" t="s">
        <v>30</v>
      </c>
      <c r="AZ34" s="13" t="s">
        <v>235</v>
      </c>
      <c r="BA34" s="13" t="s">
        <v>30</v>
      </c>
      <c r="BB34" s="13" t="s">
        <v>235</v>
      </c>
      <c r="BC34" s="13" t="s">
        <v>30</v>
      </c>
      <c r="BD34" s="13" t="s">
        <v>235</v>
      </c>
      <c r="BE34" s="13" t="s">
        <v>30</v>
      </c>
      <c r="BF34" s="13" t="s">
        <v>235</v>
      </c>
      <c r="BG34" s="13" t="s">
        <v>30</v>
      </c>
      <c r="BH34" s="13" t="s">
        <v>235</v>
      </c>
      <c r="BI34" s="13" t="s">
        <v>30</v>
      </c>
      <c r="BJ34" s="13" t="s">
        <v>235</v>
      </c>
      <c r="BK34" s="13" t="s">
        <v>30</v>
      </c>
      <c r="BL34" s="13" t="s">
        <v>235</v>
      </c>
      <c r="BM34" s="13" t="s">
        <v>30</v>
      </c>
      <c r="BN34" s="13" t="s">
        <v>235</v>
      </c>
      <c r="BO34" s="13" t="s">
        <v>30</v>
      </c>
      <c r="BP34" s="13" t="s">
        <v>235</v>
      </c>
      <c r="BQ34" s="13" t="s">
        <v>30</v>
      </c>
      <c r="BR34" s="13" t="s">
        <v>235</v>
      </c>
      <c r="BS34" s="13" t="s">
        <v>30</v>
      </c>
      <c r="BT34" s="13" t="s">
        <v>235</v>
      </c>
      <c r="BU34" s="13" t="s">
        <v>30</v>
      </c>
      <c r="BV34" s="13" t="s">
        <v>235</v>
      </c>
      <c r="BW34" s="13" t="s">
        <v>30</v>
      </c>
      <c r="BX34" s="13" t="s">
        <v>235</v>
      </c>
      <c r="BY34" s="13" t="s">
        <v>30</v>
      </c>
      <c r="BZ34" s="13" t="s">
        <v>235</v>
      </c>
      <c r="CA34" s="13" t="s">
        <v>30</v>
      </c>
      <c r="CB34" s="13" t="s">
        <v>235</v>
      </c>
      <c r="CC34" s="13" t="s">
        <v>30</v>
      </c>
      <c r="CD34" s="13" t="s">
        <v>235</v>
      </c>
      <c r="CE34" s="13" t="s">
        <v>30</v>
      </c>
      <c r="CF34" s="13" t="s">
        <v>235</v>
      </c>
      <c r="CG34" s="13" t="s">
        <v>30</v>
      </c>
      <c r="CH34" s="13" t="s">
        <v>235</v>
      </c>
      <c r="CI34" s="13" t="s">
        <v>30</v>
      </c>
      <c r="CJ34" s="13" t="s">
        <v>235</v>
      </c>
      <c r="CK34" s="13" t="s">
        <v>30</v>
      </c>
      <c r="CL34" s="13" t="s">
        <v>235</v>
      </c>
      <c r="CM34" s="13" t="s">
        <v>30</v>
      </c>
      <c r="CN34" s="13" t="s">
        <v>235</v>
      </c>
      <c r="CO34" s="13" t="s">
        <v>30</v>
      </c>
      <c r="CP34" s="13" t="s">
        <v>235</v>
      </c>
      <c r="CQ34" s="13" t="s">
        <v>30</v>
      </c>
      <c r="CR34" s="13" t="s">
        <v>235</v>
      </c>
      <c r="CS34" s="13" t="s">
        <v>30</v>
      </c>
      <c r="CT34" s="13" t="s">
        <v>235</v>
      </c>
      <c r="CU34" s="13" t="s">
        <v>30</v>
      </c>
      <c r="CV34" s="13" t="s">
        <v>235</v>
      </c>
      <c r="CW34" s="13" t="s">
        <v>30</v>
      </c>
      <c r="CX34" s="13" t="s">
        <v>235</v>
      </c>
      <c r="CY34" s="13" t="s">
        <v>30</v>
      </c>
      <c r="CZ34" s="13" t="s">
        <v>235</v>
      </c>
      <c r="DA34" s="13" t="s">
        <v>30</v>
      </c>
      <c r="DB34" s="13" t="s">
        <v>235</v>
      </c>
      <c r="DC34" s="13" t="s">
        <v>30</v>
      </c>
      <c r="DD34" s="13" t="s">
        <v>235</v>
      </c>
      <c r="DE34" s="13" t="s">
        <v>30</v>
      </c>
      <c r="DF34" s="13" t="s">
        <v>235</v>
      </c>
      <c r="DG34" s="13" t="s">
        <v>30</v>
      </c>
      <c r="DH34" s="13" t="s">
        <v>235</v>
      </c>
      <c r="DI34" s="13" t="s">
        <v>30</v>
      </c>
      <c r="DJ34" s="13" t="s">
        <v>235</v>
      </c>
      <c r="DK34" s="13" t="s">
        <v>30</v>
      </c>
      <c r="DL34" s="13" t="s">
        <v>235</v>
      </c>
      <c r="DM34" s="13" t="s">
        <v>30</v>
      </c>
      <c r="DN34" s="13" t="s">
        <v>235</v>
      </c>
      <c r="DO34" s="13" t="s">
        <v>30</v>
      </c>
      <c r="DP34" s="13" t="s">
        <v>235</v>
      </c>
      <c r="DQ34" s="13" t="s">
        <v>30</v>
      </c>
      <c r="DR34" s="13" t="s">
        <v>235</v>
      </c>
      <c r="DS34" s="13" t="s">
        <v>30</v>
      </c>
      <c r="DT34" s="13" t="s">
        <v>235</v>
      </c>
      <c r="DU34" s="13" t="s">
        <v>30</v>
      </c>
      <c r="DV34" s="13" t="s">
        <v>235</v>
      </c>
      <c r="DW34" s="13" t="s">
        <v>30</v>
      </c>
      <c r="DX34" s="13" t="s">
        <v>235</v>
      </c>
      <c r="DY34" s="13" t="s">
        <v>30</v>
      </c>
      <c r="DZ34" s="13" t="s">
        <v>235</v>
      </c>
      <c r="EA34" s="13" t="s">
        <v>30</v>
      </c>
      <c r="EB34" s="13" t="s">
        <v>235</v>
      </c>
      <c r="EC34" s="13" t="s">
        <v>30</v>
      </c>
      <c r="ED34" s="13" t="s">
        <v>235</v>
      </c>
      <c r="EE34" s="13" t="s">
        <v>30</v>
      </c>
      <c r="EF34" s="13" t="s">
        <v>235</v>
      </c>
      <c r="EG34" s="13" t="s">
        <v>30</v>
      </c>
      <c r="EH34" s="13" t="s">
        <v>235</v>
      </c>
      <c r="EI34" s="13" t="s">
        <v>30</v>
      </c>
      <c r="EJ34" s="13" t="s">
        <v>235</v>
      </c>
      <c r="EK34" s="13" t="s">
        <v>30</v>
      </c>
      <c r="EL34" s="13" t="s">
        <v>235</v>
      </c>
      <c r="EM34" s="13" t="s">
        <v>30</v>
      </c>
      <c r="EN34" s="13" t="s">
        <v>235</v>
      </c>
      <c r="EO34" s="13" t="s">
        <v>30</v>
      </c>
      <c r="EP34" s="13" t="s">
        <v>235</v>
      </c>
      <c r="EQ34" s="13" t="s">
        <v>30</v>
      </c>
      <c r="ER34" s="13" t="s">
        <v>235</v>
      </c>
      <c r="ES34" s="13" t="s">
        <v>30</v>
      </c>
      <c r="ET34" s="13" t="s">
        <v>235</v>
      </c>
      <c r="EU34" s="13" t="s">
        <v>30</v>
      </c>
      <c r="EV34" s="13" t="s">
        <v>235</v>
      </c>
      <c r="EW34" s="13" t="s">
        <v>30</v>
      </c>
      <c r="EX34" s="13" t="s">
        <v>235</v>
      </c>
      <c r="EY34" s="13" t="s">
        <v>30</v>
      </c>
      <c r="EZ34" s="13" t="s">
        <v>235</v>
      </c>
      <c r="FA34" s="13" t="s">
        <v>30</v>
      </c>
      <c r="FB34" s="13" t="s">
        <v>235</v>
      </c>
      <c r="FC34" s="13" t="s">
        <v>30</v>
      </c>
      <c r="FD34" s="13" t="s">
        <v>235</v>
      </c>
      <c r="FE34" s="13" t="s">
        <v>30</v>
      </c>
      <c r="FF34" s="14">
        <v>95646.2</v>
      </c>
      <c r="FG34" s="13" t="s">
        <v>30</v>
      </c>
      <c r="FH34" s="14">
        <v>114733.5</v>
      </c>
      <c r="FI34" s="13" t="s">
        <v>30</v>
      </c>
      <c r="FJ34" s="14">
        <v>149309.79999999999</v>
      </c>
      <c r="FK34" s="13" t="s">
        <v>30</v>
      </c>
      <c r="FL34" s="14">
        <v>143584.29999999999</v>
      </c>
      <c r="FM34" s="13" t="s">
        <v>30</v>
      </c>
      <c r="FN34" s="14">
        <v>99342.3</v>
      </c>
      <c r="FO34" s="13" t="s">
        <v>30</v>
      </c>
      <c r="FP34" s="14">
        <v>116030.7</v>
      </c>
      <c r="FQ34" s="13" t="s">
        <v>30</v>
      </c>
      <c r="FR34" s="14">
        <v>153354.6</v>
      </c>
      <c r="FS34" s="13" t="s">
        <v>30</v>
      </c>
      <c r="FT34" s="14">
        <v>152587.5</v>
      </c>
      <c r="FU34" s="13" t="s">
        <v>30</v>
      </c>
      <c r="FV34" s="14">
        <v>90716.2</v>
      </c>
      <c r="FW34" s="13" t="s">
        <v>30</v>
      </c>
      <c r="FX34" s="14">
        <v>102813.3</v>
      </c>
      <c r="FY34" s="13" t="s">
        <v>30</v>
      </c>
      <c r="FZ34" s="14">
        <v>145545.1</v>
      </c>
      <c r="GA34" s="13" t="s">
        <v>30</v>
      </c>
      <c r="GB34" s="15">
        <v>149600</v>
      </c>
      <c r="GC34" s="13" t="s">
        <v>30</v>
      </c>
      <c r="GD34" s="14">
        <v>75848.2</v>
      </c>
      <c r="GE34" s="13" t="s">
        <v>30</v>
      </c>
      <c r="GF34" s="14">
        <v>96746.9</v>
      </c>
      <c r="GG34" s="13" t="s">
        <v>30</v>
      </c>
      <c r="GH34" s="14">
        <v>141652.6</v>
      </c>
      <c r="GI34" s="13" t="s">
        <v>30</v>
      </c>
      <c r="GJ34" s="14">
        <v>147871.1</v>
      </c>
      <c r="GK34" s="13" t="s">
        <v>30</v>
      </c>
      <c r="GL34" s="15">
        <v>83634</v>
      </c>
      <c r="GM34" s="13" t="s">
        <v>30</v>
      </c>
      <c r="GN34" s="14">
        <v>101018.3</v>
      </c>
      <c r="GO34" s="13" t="s">
        <v>30</v>
      </c>
      <c r="GP34" s="14">
        <v>137406.79999999999</v>
      </c>
      <c r="GQ34" s="13" t="s">
        <v>30</v>
      </c>
      <c r="GR34" s="14">
        <v>142736.29999999999</v>
      </c>
      <c r="GS34" s="13" t="s">
        <v>30</v>
      </c>
      <c r="GT34" s="14">
        <v>82345.899999999994</v>
      </c>
      <c r="GU34" s="13" t="s">
        <v>30</v>
      </c>
      <c r="GV34" s="14">
        <v>104074.3</v>
      </c>
      <c r="GW34" s="13" t="s">
        <v>30</v>
      </c>
      <c r="GX34" s="14">
        <v>137168.6</v>
      </c>
      <c r="GY34" s="13" t="s">
        <v>30</v>
      </c>
      <c r="GZ34" s="15">
        <v>154005</v>
      </c>
      <c r="HA34" s="13" t="s">
        <v>30</v>
      </c>
      <c r="HB34" s="14">
        <v>88274.4</v>
      </c>
      <c r="HC34" s="13" t="s">
        <v>30</v>
      </c>
      <c r="HD34" s="14">
        <v>111316.7</v>
      </c>
      <c r="HE34" s="13" t="s">
        <v>30</v>
      </c>
      <c r="HF34" s="15">
        <v>144885</v>
      </c>
      <c r="HG34" s="13" t="s">
        <v>30</v>
      </c>
      <c r="HH34" s="14">
        <v>160637.20000000001</v>
      </c>
      <c r="HI34" s="13" t="s">
        <v>30</v>
      </c>
      <c r="HJ34" s="14">
        <v>94737.3</v>
      </c>
      <c r="HK34" s="13" t="s">
        <v>30</v>
      </c>
      <c r="HL34" s="15">
        <v>122007</v>
      </c>
      <c r="HM34" s="13" t="s">
        <v>30</v>
      </c>
      <c r="HN34" s="14">
        <v>148653.4</v>
      </c>
      <c r="HO34" s="13" t="s">
        <v>30</v>
      </c>
      <c r="HP34" s="14">
        <v>165253.20000000001</v>
      </c>
      <c r="HQ34" s="13" t="s">
        <v>30</v>
      </c>
      <c r="HR34" s="14">
        <v>95076.7</v>
      </c>
      <c r="HS34" s="13" t="s">
        <v>30</v>
      </c>
      <c r="HT34" s="14">
        <v>124557.7</v>
      </c>
      <c r="HU34" s="13" t="s">
        <v>30</v>
      </c>
      <c r="HV34" s="14">
        <v>153108.20000000001</v>
      </c>
      <c r="HW34" s="13" t="s">
        <v>30</v>
      </c>
      <c r="HX34" s="14">
        <v>170002.2</v>
      </c>
      <c r="HY34" s="13" t="s">
        <v>30</v>
      </c>
      <c r="HZ34" s="14">
        <v>104120.8</v>
      </c>
      <c r="IA34" s="13" t="s">
        <v>30</v>
      </c>
      <c r="IB34" s="14">
        <v>133000.4</v>
      </c>
      <c r="IC34" s="13" t="s">
        <v>30</v>
      </c>
      <c r="ID34" s="14">
        <v>169981.5</v>
      </c>
      <c r="IE34" s="13" t="s">
        <v>30</v>
      </c>
      <c r="IF34" s="14">
        <v>193222.9</v>
      </c>
      <c r="IG34" s="13" t="s">
        <v>30</v>
      </c>
      <c r="IH34" s="15">
        <v>112573</v>
      </c>
      <c r="II34" s="13" t="s">
        <v>30</v>
      </c>
      <c r="IJ34" s="14">
        <v>140731.70000000001</v>
      </c>
      <c r="IK34" s="13" t="s">
        <v>30</v>
      </c>
      <c r="IL34" s="14">
        <v>173030.9</v>
      </c>
      <c r="IM34" s="13" t="s">
        <v>30</v>
      </c>
      <c r="IN34" s="14">
        <v>198110.2</v>
      </c>
      <c r="IO34" s="13" t="s">
        <v>30</v>
      </c>
      <c r="IP34" s="14">
        <v>123605.2</v>
      </c>
      <c r="IQ34" s="13" t="s">
        <v>30</v>
      </c>
      <c r="IR34" s="14">
        <v>153863.5</v>
      </c>
      <c r="IS34" s="13" t="s">
        <v>30</v>
      </c>
      <c r="IT34" s="15">
        <v>187545</v>
      </c>
      <c r="IU34" s="13" t="s">
        <v>30</v>
      </c>
      <c r="IV34" s="14">
        <v>212477.6</v>
      </c>
      <c r="IW34" s="13" t="s">
        <v>30</v>
      </c>
      <c r="IX34" s="15">
        <v>136460</v>
      </c>
      <c r="IY34" s="13" t="s">
        <v>30</v>
      </c>
      <c r="IZ34" s="14">
        <v>165233.70000000001</v>
      </c>
      <c r="JA34" s="13" t="s">
        <v>30</v>
      </c>
      <c r="JB34" s="15">
        <v>196209</v>
      </c>
      <c r="JC34" s="13" t="s">
        <v>30</v>
      </c>
      <c r="JD34" s="14">
        <v>227146.7</v>
      </c>
      <c r="JE34" s="13" t="s">
        <v>30</v>
      </c>
      <c r="JF34" s="14">
        <v>149152.9</v>
      </c>
      <c r="JG34" s="13" t="s">
        <v>30</v>
      </c>
      <c r="JH34" s="14">
        <v>183217.4</v>
      </c>
      <c r="JI34" s="13" t="s">
        <v>30</v>
      </c>
      <c r="JJ34" s="14">
        <v>218390.1</v>
      </c>
      <c r="JK34" s="13" t="s">
        <v>30</v>
      </c>
      <c r="JL34" s="14">
        <v>243110.5</v>
      </c>
      <c r="JM34" s="13" t="s">
        <v>30</v>
      </c>
      <c r="JN34" s="14">
        <v>139678.70000000001</v>
      </c>
      <c r="JO34" s="13" t="s">
        <v>30</v>
      </c>
      <c r="JP34" s="14">
        <v>171903.8</v>
      </c>
      <c r="JQ34" s="13" t="s">
        <v>30</v>
      </c>
      <c r="JR34" s="14">
        <v>209668.5</v>
      </c>
      <c r="JS34" s="13" t="s">
        <v>30</v>
      </c>
      <c r="JT34" s="14">
        <v>237358.4</v>
      </c>
      <c r="JU34" s="13" t="s">
        <v>30</v>
      </c>
      <c r="JV34" s="15">
        <v>139662</v>
      </c>
      <c r="JW34" s="13" t="s">
        <v>30</v>
      </c>
      <c r="JX34" s="14">
        <v>169862.5</v>
      </c>
      <c r="JY34" s="13" t="s">
        <v>30</v>
      </c>
      <c r="JZ34" s="14">
        <v>190616.4</v>
      </c>
      <c r="KA34" s="13" t="s">
        <v>30</v>
      </c>
      <c r="KB34" s="14">
        <v>219178.5</v>
      </c>
      <c r="KC34" s="13" t="s">
        <v>30</v>
      </c>
      <c r="KD34" s="14">
        <v>144309.6</v>
      </c>
      <c r="KE34" s="13" t="s">
        <v>30</v>
      </c>
      <c r="KF34" s="14">
        <v>176203.6</v>
      </c>
      <c r="KG34" s="13" t="s">
        <v>30</v>
      </c>
      <c r="KH34" s="14">
        <v>207181.8</v>
      </c>
      <c r="KI34" s="13" t="s">
        <v>30</v>
      </c>
      <c r="KJ34" s="14">
        <v>222477.7</v>
      </c>
      <c r="KK34" s="13" t="s">
        <v>30</v>
      </c>
      <c r="KL34" s="14">
        <v>150653.79999999999</v>
      </c>
      <c r="KM34" s="13" t="s">
        <v>30</v>
      </c>
      <c r="KN34" s="14">
        <v>180037.2</v>
      </c>
      <c r="KO34" s="13" t="s">
        <v>30</v>
      </c>
      <c r="KP34" s="14">
        <v>208693.5</v>
      </c>
      <c r="KQ34" s="13" t="s">
        <v>30</v>
      </c>
      <c r="KR34" s="14">
        <v>225802.2</v>
      </c>
      <c r="KS34" s="13" t="s">
        <v>30</v>
      </c>
      <c r="KT34" s="14">
        <v>143894.79999999999</v>
      </c>
      <c r="KU34" s="13" t="s">
        <v>30</v>
      </c>
      <c r="KV34" s="14">
        <v>175784.2</v>
      </c>
      <c r="KW34" s="13" t="s">
        <v>30</v>
      </c>
      <c r="KX34" s="15">
        <v>214388</v>
      </c>
      <c r="KY34" s="13" t="s">
        <v>30</v>
      </c>
      <c r="KZ34" s="14">
        <v>234212.9</v>
      </c>
      <c r="LA34" s="13" t="s">
        <v>30</v>
      </c>
      <c r="LB34" s="15">
        <v>151320</v>
      </c>
      <c r="LC34" s="13" t="s">
        <v>30</v>
      </c>
      <c r="LD34" s="14">
        <v>180570.7</v>
      </c>
      <c r="LE34" s="13" t="s">
        <v>30</v>
      </c>
      <c r="LF34" s="14">
        <v>224144.9</v>
      </c>
      <c r="LG34" s="13" t="s">
        <v>30</v>
      </c>
      <c r="LH34" s="14">
        <v>244258.5</v>
      </c>
      <c r="LI34" s="13" t="s">
        <v>30</v>
      </c>
      <c r="LJ34" s="14">
        <v>156155.6</v>
      </c>
      <c r="LK34" s="13" t="s">
        <v>30</v>
      </c>
      <c r="LL34" s="14">
        <v>190242.8</v>
      </c>
      <c r="LM34" s="13" t="s">
        <v>30</v>
      </c>
      <c r="LN34" s="14">
        <v>227551.4</v>
      </c>
      <c r="LO34" s="13" t="s">
        <v>30</v>
      </c>
      <c r="LP34" s="14">
        <v>247724.79999999999</v>
      </c>
      <c r="LQ34" s="13" t="s">
        <v>30</v>
      </c>
      <c r="LR34" s="14">
        <v>161014.1</v>
      </c>
      <c r="LS34" s="13" t="s">
        <v>30</v>
      </c>
      <c r="LT34" s="14">
        <v>193883.6</v>
      </c>
      <c r="LU34" s="13" t="s">
        <v>30</v>
      </c>
      <c r="LV34" s="14">
        <v>235741.5</v>
      </c>
      <c r="LW34" s="13" t="s">
        <v>30</v>
      </c>
      <c r="LX34" s="14">
        <v>254164.5</v>
      </c>
      <c r="LY34" s="13" t="s">
        <v>30</v>
      </c>
      <c r="LZ34" s="14">
        <v>172334.8</v>
      </c>
      <c r="MA34" s="13" t="s">
        <v>30</v>
      </c>
      <c r="MB34" s="14">
        <v>211084.5</v>
      </c>
      <c r="MC34" s="13" t="s">
        <v>30</v>
      </c>
      <c r="MD34" s="14">
        <v>255875.6</v>
      </c>
      <c r="ME34" s="13" t="s">
        <v>30</v>
      </c>
      <c r="MF34" s="15">
        <v>276509</v>
      </c>
      <c r="MG34" s="13" t="s">
        <v>30</v>
      </c>
      <c r="MH34" s="14">
        <v>181544.5</v>
      </c>
      <c r="MI34" s="13" t="s">
        <v>30</v>
      </c>
      <c r="MJ34" s="14">
        <v>221786.8</v>
      </c>
      <c r="MK34" s="13" t="s">
        <v>30</v>
      </c>
      <c r="ML34" s="14">
        <v>267511.90000000002</v>
      </c>
      <c r="MM34" s="13" t="s">
        <v>30</v>
      </c>
      <c r="MN34" s="15">
        <v>290220</v>
      </c>
      <c r="MO34" s="13" t="s">
        <v>30</v>
      </c>
      <c r="MP34" s="14">
        <v>189579.5</v>
      </c>
      <c r="MQ34" s="13" t="s">
        <v>30</v>
      </c>
      <c r="MR34" s="15">
        <v>231595</v>
      </c>
      <c r="MS34" s="13" t="s">
        <v>30</v>
      </c>
      <c r="MT34" s="14">
        <v>272528.90000000002</v>
      </c>
      <c r="MU34" s="13" t="s">
        <v>30</v>
      </c>
      <c r="MV34" s="14">
        <v>303858.2</v>
      </c>
      <c r="MW34" s="13" t="s">
        <v>30</v>
      </c>
      <c r="MX34" s="14">
        <v>194483.5</v>
      </c>
      <c r="MY34" s="13" t="s">
        <v>30</v>
      </c>
      <c r="MZ34" s="14">
        <v>210212.9</v>
      </c>
      <c r="NA34" s="13" t="s">
        <v>30</v>
      </c>
      <c r="NB34" s="14">
        <v>259702.3</v>
      </c>
      <c r="NC34" s="13" t="s">
        <v>30</v>
      </c>
      <c r="ND34" s="15">
        <v>299400</v>
      </c>
      <c r="NE34" s="13" t="s">
        <v>30</v>
      </c>
      <c r="NF34" s="14">
        <v>198521.1</v>
      </c>
      <c r="NG34" s="13" t="s">
        <v>30</v>
      </c>
      <c r="NH34" s="14">
        <v>233844.1</v>
      </c>
      <c r="NI34" s="13" t="s">
        <v>30</v>
      </c>
      <c r="NJ34" s="14">
        <v>275836.7</v>
      </c>
      <c r="NK34" s="13" t="s">
        <v>30</v>
      </c>
      <c r="NL34" s="15">
        <v>305692</v>
      </c>
      <c r="NM34" s="13" t="s">
        <v>30</v>
      </c>
      <c r="NN34" s="14">
        <v>203003.3</v>
      </c>
      <c r="NO34" s="13" t="s">
        <v>30</v>
      </c>
      <c r="NP34" s="14">
        <v>242093.7</v>
      </c>
      <c r="NQ34" s="13" t="s">
        <v>30</v>
      </c>
      <c r="NR34" s="14">
        <v>283797.2</v>
      </c>
      <c r="NS34" s="13" t="s">
        <v>30</v>
      </c>
      <c r="NT34" s="14">
        <v>319374.40000000002</v>
      </c>
      <c r="NU34" s="13" t="s">
        <v>30</v>
      </c>
      <c r="NV34" s="14">
        <v>203291.6</v>
      </c>
      <c r="NW34" s="13" t="s">
        <v>30</v>
      </c>
      <c r="NX34" s="15">
        <v>247973</v>
      </c>
      <c r="NY34" s="13" t="s">
        <v>30</v>
      </c>
      <c r="NZ34" s="14">
        <v>292455.3</v>
      </c>
      <c r="OA34" s="13" t="s">
        <v>30</v>
      </c>
      <c r="OB34" s="14">
        <v>325184.5</v>
      </c>
      <c r="OC34" s="13" t="s">
        <v>30</v>
      </c>
      <c r="OD34" s="14">
        <v>210179.8</v>
      </c>
      <c r="OE34" s="13" t="s">
        <v>237</v>
      </c>
      <c r="OF34" s="14">
        <v>251356.1</v>
      </c>
      <c r="OG34" s="13" t="s">
        <v>237</v>
      </c>
      <c r="OH34" s="14">
        <v>286890.8</v>
      </c>
      <c r="OI34" s="13" t="s">
        <v>237</v>
      </c>
      <c r="OJ34" s="14">
        <v>322156.40000000002</v>
      </c>
      <c r="OK34" s="13" t="s">
        <v>237</v>
      </c>
      <c r="OL34" s="14">
        <v>210236.7</v>
      </c>
      <c r="OM34" s="13" t="s">
        <v>237</v>
      </c>
      <c r="ON34" s="14">
        <v>254411.5</v>
      </c>
      <c r="OO34" s="13" t="s">
        <v>237</v>
      </c>
      <c r="OP34" s="13" t="s">
        <v>235</v>
      </c>
      <c r="OQ34" s="13" t="s">
        <v>30</v>
      </c>
    </row>
    <row r="35" spans="1:407" x14ac:dyDescent="0.3">
      <c r="A35" s="12" t="s">
        <v>260</v>
      </c>
      <c r="B35" s="16" t="s">
        <v>235</v>
      </c>
      <c r="C35" s="16" t="s">
        <v>30</v>
      </c>
      <c r="D35" s="16" t="s">
        <v>235</v>
      </c>
      <c r="E35" s="16" t="s">
        <v>30</v>
      </c>
      <c r="F35" s="16" t="s">
        <v>235</v>
      </c>
      <c r="G35" s="16" t="s">
        <v>30</v>
      </c>
      <c r="H35" s="16" t="s">
        <v>235</v>
      </c>
      <c r="I35" s="16" t="s">
        <v>30</v>
      </c>
      <c r="J35" s="16" t="s">
        <v>235</v>
      </c>
      <c r="K35" s="16" t="s">
        <v>30</v>
      </c>
      <c r="L35" s="16" t="s">
        <v>235</v>
      </c>
      <c r="M35" s="16" t="s">
        <v>30</v>
      </c>
      <c r="N35" s="16" t="s">
        <v>235</v>
      </c>
      <c r="O35" s="16" t="s">
        <v>30</v>
      </c>
      <c r="P35" s="16" t="s">
        <v>235</v>
      </c>
      <c r="Q35" s="16" t="s">
        <v>30</v>
      </c>
      <c r="R35" s="16" t="s">
        <v>235</v>
      </c>
      <c r="S35" s="16" t="s">
        <v>30</v>
      </c>
      <c r="T35" s="16" t="s">
        <v>235</v>
      </c>
      <c r="U35" s="16" t="s">
        <v>30</v>
      </c>
      <c r="V35" s="16" t="s">
        <v>235</v>
      </c>
      <c r="W35" s="16" t="s">
        <v>30</v>
      </c>
      <c r="X35" s="16" t="s">
        <v>235</v>
      </c>
      <c r="Y35" s="16" t="s">
        <v>30</v>
      </c>
      <c r="Z35" s="16" t="s">
        <v>235</v>
      </c>
      <c r="AA35" s="16" t="s">
        <v>30</v>
      </c>
      <c r="AB35" s="16" t="s">
        <v>235</v>
      </c>
      <c r="AC35" s="16" t="s">
        <v>30</v>
      </c>
      <c r="AD35" s="16" t="s">
        <v>235</v>
      </c>
      <c r="AE35" s="16" t="s">
        <v>30</v>
      </c>
      <c r="AF35" s="16" t="s">
        <v>235</v>
      </c>
      <c r="AG35" s="16" t="s">
        <v>30</v>
      </c>
      <c r="AH35" s="16" t="s">
        <v>235</v>
      </c>
      <c r="AI35" s="16" t="s">
        <v>30</v>
      </c>
      <c r="AJ35" s="16" t="s">
        <v>235</v>
      </c>
      <c r="AK35" s="16" t="s">
        <v>30</v>
      </c>
      <c r="AL35" s="16" t="s">
        <v>235</v>
      </c>
      <c r="AM35" s="16" t="s">
        <v>30</v>
      </c>
      <c r="AN35" s="16" t="s">
        <v>235</v>
      </c>
      <c r="AO35" s="16" t="s">
        <v>30</v>
      </c>
      <c r="AP35" s="16" t="s">
        <v>235</v>
      </c>
      <c r="AQ35" s="16" t="s">
        <v>30</v>
      </c>
      <c r="AR35" s="16" t="s">
        <v>235</v>
      </c>
      <c r="AS35" s="16" t="s">
        <v>30</v>
      </c>
      <c r="AT35" s="16" t="s">
        <v>235</v>
      </c>
      <c r="AU35" s="16" t="s">
        <v>30</v>
      </c>
      <c r="AV35" s="16" t="s">
        <v>235</v>
      </c>
      <c r="AW35" s="16" t="s">
        <v>30</v>
      </c>
      <c r="AX35" s="16" t="s">
        <v>235</v>
      </c>
      <c r="AY35" s="16" t="s">
        <v>30</v>
      </c>
      <c r="AZ35" s="16" t="s">
        <v>235</v>
      </c>
      <c r="BA35" s="16" t="s">
        <v>30</v>
      </c>
      <c r="BB35" s="16" t="s">
        <v>235</v>
      </c>
      <c r="BC35" s="16" t="s">
        <v>30</v>
      </c>
      <c r="BD35" s="16" t="s">
        <v>235</v>
      </c>
      <c r="BE35" s="16" t="s">
        <v>30</v>
      </c>
      <c r="BF35" s="16" t="s">
        <v>235</v>
      </c>
      <c r="BG35" s="16" t="s">
        <v>30</v>
      </c>
      <c r="BH35" s="16" t="s">
        <v>235</v>
      </c>
      <c r="BI35" s="16" t="s">
        <v>30</v>
      </c>
      <c r="BJ35" s="16" t="s">
        <v>235</v>
      </c>
      <c r="BK35" s="16" t="s">
        <v>30</v>
      </c>
      <c r="BL35" s="16" t="s">
        <v>235</v>
      </c>
      <c r="BM35" s="16" t="s">
        <v>30</v>
      </c>
      <c r="BN35" s="16" t="s">
        <v>235</v>
      </c>
      <c r="BO35" s="16" t="s">
        <v>30</v>
      </c>
      <c r="BP35" s="16" t="s">
        <v>235</v>
      </c>
      <c r="BQ35" s="16" t="s">
        <v>30</v>
      </c>
      <c r="BR35" s="16" t="s">
        <v>235</v>
      </c>
      <c r="BS35" s="16" t="s">
        <v>30</v>
      </c>
      <c r="BT35" s="16" t="s">
        <v>235</v>
      </c>
      <c r="BU35" s="16" t="s">
        <v>30</v>
      </c>
      <c r="BV35" s="16" t="s">
        <v>235</v>
      </c>
      <c r="BW35" s="16" t="s">
        <v>30</v>
      </c>
      <c r="BX35" s="16" t="s">
        <v>235</v>
      </c>
      <c r="BY35" s="16" t="s">
        <v>30</v>
      </c>
      <c r="BZ35" s="16" t="s">
        <v>235</v>
      </c>
      <c r="CA35" s="16" t="s">
        <v>30</v>
      </c>
      <c r="CB35" s="16" t="s">
        <v>235</v>
      </c>
      <c r="CC35" s="16" t="s">
        <v>30</v>
      </c>
      <c r="CD35" s="16" t="s">
        <v>235</v>
      </c>
      <c r="CE35" s="16" t="s">
        <v>30</v>
      </c>
      <c r="CF35" s="16" t="s">
        <v>235</v>
      </c>
      <c r="CG35" s="16" t="s">
        <v>30</v>
      </c>
      <c r="CH35" s="16" t="s">
        <v>235</v>
      </c>
      <c r="CI35" s="16" t="s">
        <v>30</v>
      </c>
      <c r="CJ35" s="16" t="s">
        <v>235</v>
      </c>
      <c r="CK35" s="16" t="s">
        <v>30</v>
      </c>
      <c r="CL35" s="16" t="s">
        <v>235</v>
      </c>
      <c r="CM35" s="16" t="s">
        <v>30</v>
      </c>
      <c r="CN35" s="16" t="s">
        <v>235</v>
      </c>
      <c r="CO35" s="16" t="s">
        <v>30</v>
      </c>
      <c r="CP35" s="16" t="s">
        <v>235</v>
      </c>
      <c r="CQ35" s="16" t="s">
        <v>30</v>
      </c>
      <c r="CR35" s="16" t="s">
        <v>235</v>
      </c>
      <c r="CS35" s="16" t="s">
        <v>30</v>
      </c>
      <c r="CT35" s="16" t="s">
        <v>235</v>
      </c>
      <c r="CU35" s="16" t="s">
        <v>30</v>
      </c>
      <c r="CV35" s="16" t="s">
        <v>235</v>
      </c>
      <c r="CW35" s="16" t="s">
        <v>30</v>
      </c>
      <c r="CX35" s="16" t="s">
        <v>235</v>
      </c>
      <c r="CY35" s="16" t="s">
        <v>30</v>
      </c>
      <c r="CZ35" s="16" t="s">
        <v>235</v>
      </c>
      <c r="DA35" s="16" t="s">
        <v>30</v>
      </c>
      <c r="DB35" s="16" t="s">
        <v>235</v>
      </c>
      <c r="DC35" s="16" t="s">
        <v>30</v>
      </c>
      <c r="DD35" s="16" t="s">
        <v>235</v>
      </c>
      <c r="DE35" s="16" t="s">
        <v>30</v>
      </c>
      <c r="DF35" s="16" t="s">
        <v>235</v>
      </c>
      <c r="DG35" s="16" t="s">
        <v>30</v>
      </c>
      <c r="DH35" s="16" t="s">
        <v>235</v>
      </c>
      <c r="DI35" s="16" t="s">
        <v>30</v>
      </c>
      <c r="DJ35" s="16" t="s">
        <v>235</v>
      </c>
      <c r="DK35" s="16" t="s">
        <v>30</v>
      </c>
      <c r="DL35" s="16" t="s">
        <v>235</v>
      </c>
      <c r="DM35" s="16" t="s">
        <v>30</v>
      </c>
      <c r="DN35" s="16" t="s">
        <v>235</v>
      </c>
      <c r="DO35" s="16" t="s">
        <v>30</v>
      </c>
      <c r="DP35" s="16" t="s">
        <v>235</v>
      </c>
      <c r="DQ35" s="16" t="s">
        <v>30</v>
      </c>
      <c r="DR35" s="16" t="s">
        <v>235</v>
      </c>
      <c r="DS35" s="16" t="s">
        <v>30</v>
      </c>
      <c r="DT35" s="16" t="s">
        <v>235</v>
      </c>
      <c r="DU35" s="16" t="s">
        <v>30</v>
      </c>
      <c r="DV35" s="16" t="s">
        <v>235</v>
      </c>
      <c r="DW35" s="16" t="s">
        <v>30</v>
      </c>
      <c r="DX35" s="16" t="s">
        <v>235</v>
      </c>
      <c r="DY35" s="16" t="s">
        <v>30</v>
      </c>
      <c r="DZ35" s="16" t="s">
        <v>235</v>
      </c>
      <c r="EA35" s="16" t="s">
        <v>30</v>
      </c>
      <c r="EB35" s="16" t="s">
        <v>235</v>
      </c>
      <c r="EC35" s="16" t="s">
        <v>30</v>
      </c>
      <c r="ED35" s="16" t="s">
        <v>235</v>
      </c>
      <c r="EE35" s="16" t="s">
        <v>30</v>
      </c>
      <c r="EF35" s="16" t="s">
        <v>235</v>
      </c>
      <c r="EG35" s="16" t="s">
        <v>30</v>
      </c>
      <c r="EH35" s="16" t="s">
        <v>235</v>
      </c>
      <c r="EI35" s="16" t="s">
        <v>30</v>
      </c>
      <c r="EJ35" s="16" t="s">
        <v>235</v>
      </c>
      <c r="EK35" s="16" t="s">
        <v>30</v>
      </c>
      <c r="EL35" s="16" t="s">
        <v>235</v>
      </c>
      <c r="EM35" s="16" t="s">
        <v>30</v>
      </c>
      <c r="EN35" s="16" t="s">
        <v>235</v>
      </c>
      <c r="EO35" s="16" t="s">
        <v>30</v>
      </c>
      <c r="EP35" s="16" t="s">
        <v>235</v>
      </c>
      <c r="EQ35" s="16" t="s">
        <v>30</v>
      </c>
      <c r="ER35" s="16" t="s">
        <v>235</v>
      </c>
      <c r="ES35" s="16" t="s">
        <v>30</v>
      </c>
      <c r="ET35" s="16" t="s">
        <v>235</v>
      </c>
      <c r="EU35" s="16" t="s">
        <v>30</v>
      </c>
      <c r="EV35" s="16" t="s">
        <v>235</v>
      </c>
      <c r="EW35" s="16" t="s">
        <v>30</v>
      </c>
      <c r="EX35" s="16" t="s">
        <v>235</v>
      </c>
      <c r="EY35" s="16" t="s">
        <v>30</v>
      </c>
      <c r="EZ35" s="16" t="s">
        <v>235</v>
      </c>
      <c r="FA35" s="16" t="s">
        <v>30</v>
      </c>
      <c r="FB35" s="16" t="s">
        <v>235</v>
      </c>
      <c r="FC35" s="16" t="s">
        <v>30</v>
      </c>
      <c r="FD35" s="16" t="s">
        <v>235</v>
      </c>
      <c r="FE35" s="16" t="s">
        <v>30</v>
      </c>
      <c r="FF35" s="16" t="s">
        <v>235</v>
      </c>
      <c r="FG35" s="16" t="s">
        <v>30</v>
      </c>
      <c r="FH35" s="16" t="s">
        <v>235</v>
      </c>
      <c r="FI35" s="16" t="s">
        <v>30</v>
      </c>
      <c r="FJ35" s="16" t="s">
        <v>235</v>
      </c>
      <c r="FK35" s="16" t="s">
        <v>30</v>
      </c>
      <c r="FL35" s="16" t="s">
        <v>235</v>
      </c>
      <c r="FM35" s="16" t="s">
        <v>30</v>
      </c>
      <c r="FN35" s="17">
        <v>5251.5</v>
      </c>
      <c r="FO35" s="16" t="s">
        <v>30</v>
      </c>
      <c r="FP35" s="17">
        <v>5695.1</v>
      </c>
      <c r="FQ35" s="16" t="s">
        <v>30</v>
      </c>
      <c r="FR35" s="17">
        <v>5673.8</v>
      </c>
      <c r="FS35" s="16" t="s">
        <v>30</v>
      </c>
      <c r="FT35" s="17">
        <v>5896.4</v>
      </c>
      <c r="FU35" s="16" t="s">
        <v>30</v>
      </c>
      <c r="FV35" s="17">
        <v>5489.6</v>
      </c>
      <c r="FW35" s="16" t="s">
        <v>30</v>
      </c>
      <c r="FX35" s="17">
        <v>6046.7</v>
      </c>
      <c r="FY35" s="16" t="s">
        <v>30</v>
      </c>
      <c r="FZ35" s="17">
        <v>5979.6</v>
      </c>
      <c r="GA35" s="16" t="s">
        <v>30</v>
      </c>
      <c r="GB35" s="17">
        <v>6119.9</v>
      </c>
      <c r="GC35" s="16" t="s">
        <v>30</v>
      </c>
      <c r="GD35" s="17">
        <v>5733.7</v>
      </c>
      <c r="GE35" s="16" t="s">
        <v>30</v>
      </c>
      <c r="GF35" s="17">
        <v>6161.8</v>
      </c>
      <c r="GG35" s="16" t="s">
        <v>30</v>
      </c>
      <c r="GH35" s="17">
        <v>6096.2</v>
      </c>
      <c r="GI35" s="16" t="s">
        <v>30</v>
      </c>
      <c r="GJ35" s="17">
        <v>6289.6</v>
      </c>
      <c r="GK35" s="16" t="s">
        <v>30</v>
      </c>
      <c r="GL35" s="17">
        <v>5955.1</v>
      </c>
      <c r="GM35" s="16" t="s">
        <v>30</v>
      </c>
      <c r="GN35" s="17">
        <v>6548.2</v>
      </c>
      <c r="GO35" s="16" t="s">
        <v>30</v>
      </c>
      <c r="GP35" s="17">
        <v>6331.4</v>
      </c>
      <c r="GQ35" s="16" t="s">
        <v>30</v>
      </c>
      <c r="GR35" s="17">
        <v>6569.9</v>
      </c>
      <c r="GS35" s="16" t="s">
        <v>30</v>
      </c>
      <c r="GT35" s="17">
        <v>6318.3</v>
      </c>
      <c r="GU35" s="16" t="s">
        <v>30</v>
      </c>
      <c r="GV35" s="17">
        <v>6699.1</v>
      </c>
      <c r="GW35" s="16" t="s">
        <v>30</v>
      </c>
      <c r="GX35" s="17">
        <v>6608.7</v>
      </c>
      <c r="GY35" s="16" t="s">
        <v>30</v>
      </c>
      <c r="GZ35" s="17">
        <v>6764.4</v>
      </c>
      <c r="HA35" s="16" t="s">
        <v>30</v>
      </c>
      <c r="HB35" s="17">
        <v>6568.4</v>
      </c>
      <c r="HC35" s="16" t="s">
        <v>30</v>
      </c>
      <c r="HD35" s="17">
        <v>6913.4</v>
      </c>
      <c r="HE35" s="16" t="s">
        <v>30</v>
      </c>
      <c r="HF35" s="17">
        <v>6832.5</v>
      </c>
      <c r="HG35" s="16" t="s">
        <v>30</v>
      </c>
      <c r="HH35" s="18">
        <v>6981</v>
      </c>
      <c r="HI35" s="16" t="s">
        <v>30</v>
      </c>
      <c r="HJ35" s="17">
        <v>6749.9</v>
      </c>
      <c r="HK35" s="16" t="s">
        <v>30</v>
      </c>
      <c r="HL35" s="17">
        <v>7118.4</v>
      </c>
      <c r="HM35" s="16" t="s">
        <v>30</v>
      </c>
      <c r="HN35" s="17">
        <v>7096.3</v>
      </c>
      <c r="HO35" s="16" t="s">
        <v>30</v>
      </c>
      <c r="HP35" s="17">
        <v>7317.8</v>
      </c>
      <c r="HQ35" s="16" t="s">
        <v>30</v>
      </c>
      <c r="HR35" s="17">
        <v>6940.3</v>
      </c>
      <c r="HS35" s="16" t="s">
        <v>30</v>
      </c>
      <c r="HT35" s="17">
        <v>7416.2</v>
      </c>
      <c r="HU35" s="16" t="s">
        <v>30</v>
      </c>
      <c r="HV35" s="18">
        <v>7378</v>
      </c>
      <c r="HW35" s="16" t="s">
        <v>30</v>
      </c>
      <c r="HX35" s="17">
        <v>7506.6</v>
      </c>
      <c r="HY35" s="16" t="s">
        <v>30</v>
      </c>
      <c r="HZ35" s="17">
        <v>7233.1</v>
      </c>
      <c r="IA35" s="16" t="s">
        <v>30</v>
      </c>
      <c r="IB35" s="17">
        <v>7801.3</v>
      </c>
      <c r="IC35" s="16" t="s">
        <v>30</v>
      </c>
      <c r="ID35" s="17">
        <v>7710.1</v>
      </c>
      <c r="IE35" s="16" t="s">
        <v>30</v>
      </c>
      <c r="IF35" s="17">
        <v>7829.4</v>
      </c>
      <c r="IG35" s="16" t="s">
        <v>30</v>
      </c>
      <c r="IH35" s="17">
        <v>7408.3</v>
      </c>
      <c r="II35" s="16" t="s">
        <v>30</v>
      </c>
      <c r="IJ35" s="17">
        <v>8145.4</v>
      </c>
      <c r="IK35" s="16" t="s">
        <v>30</v>
      </c>
      <c r="IL35" s="17">
        <v>8002.8</v>
      </c>
      <c r="IM35" s="16" t="s">
        <v>30</v>
      </c>
      <c r="IN35" s="17">
        <v>8145.3</v>
      </c>
      <c r="IO35" s="16" t="s">
        <v>30</v>
      </c>
      <c r="IP35" s="17">
        <v>7841.9</v>
      </c>
      <c r="IQ35" s="16" t="s">
        <v>30</v>
      </c>
      <c r="IR35" s="17">
        <v>8539.5</v>
      </c>
      <c r="IS35" s="16" t="s">
        <v>30</v>
      </c>
      <c r="IT35" s="17">
        <v>8550.2999999999993</v>
      </c>
      <c r="IU35" s="16" t="s">
        <v>30</v>
      </c>
      <c r="IV35" s="17">
        <v>8720.7999999999993</v>
      </c>
      <c r="IW35" s="16" t="s">
        <v>30</v>
      </c>
      <c r="IX35" s="17">
        <v>8509.7000000000007</v>
      </c>
      <c r="IY35" s="16" t="s">
        <v>30</v>
      </c>
      <c r="IZ35" s="18">
        <v>9215</v>
      </c>
      <c r="JA35" s="16" t="s">
        <v>30</v>
      </c>
      <c r="JB35" s="18">
        <v>9212</v>
      </c>
      <c r="JC35" s="16" t="s">
        <v>30</v>
      </c>
      <c r="JD35" s="17">
        <v>9187.7000000000007</v>
      </c>
      <c r="JE35" s="16" t="s">
        <v>30</v>
      </c>
      <c r="JF35" s="18">
        <v>8975</v>
      </c>
      <c r="JG35" s="16" t="s">
        <v>30</v>
      </c>
      <c r="JH35" s="17">
        <v>9715.1</v>
      </c>
      <c r="JI35" s="16" t="s">
        <v>30</v>
      </c>
      <c r="JJ35" s="17">
        <v>9475.9</v>
      </c>
      <c r="JK35" s="16" t="s">
        <v>30</v>
      </c>
      <c r="JL35" s="18">
        <v>9046</v>
      </c>
      <c r="JM35" s="16" t="s">
        <v>30</v>
      </c>
      <c r="JN35" s="17">
        <v>8388.7999999999993</v>
      </c>
      <c r="JO35" s="16" t="s">
        <v>30</v>
      </c>
      <c r="JP35" s="17">
        <v>8850.5</v>
      </c>
      <c r="JQ35" s="16" t="s">
        <v>30</v>
      </c>
      <c r="JR35" s="18">
        <v>8693</v>
      </c>
      <c r="JS35" s="16" t="s">
        <v>30</v>
      </c>
      <c r="JT35" s="17">
        <v>8637.5</v>
      </c>
      <c r="JU35" s="16" t="s">
        <v>30</v>
      </c>
      <c r="JV35" s="17">
        <v>8294.9</v>
      </c>
      <c r="JW35" s="16" t="s">
        <v>30</v>
      </c>
      <c r="JX35" s="17">
        <v>8989.7000000000007</v>
      </c>
      <c r="JY35" s="16" t="s">
        <v>30</v>
      </c>
      <c r="JZ35" s="17">
        <v>8897.5</v>
      </c>
      <c r="KA35" s="16" t="s">
        <v>30</v>
      </c>
      <c r="KB35" s="17">
        <v>8794.1</v>
      </c>
      <c r="KC35" s="16" t="s">
        <v>30</v>
      </c>
      <c r="KD35" s="17">
        <v>8485.6</v>
      </c>
      <c r="KE35" s="16" t="s">
        <v>30</v>
      </c>
      <c r="KF35" s="17">
        <v>8923.5</v>
      </c>
      <c r="KG35" s="16" t="s">
        <v>30</v>
      </c>
      <c r="KH35" s="17">
        <v>8879.4</v>
      </c>
      <c r="KI35" s="16" t="s">
        <v>30</v>
      </c>
      <c r="KJ35" s="17">
        <v>8801.6</v>
      </c>
      <c r="KK35" s="16" t="s">
        <v>30</v>
      </c>
      <c r="KL35" s="17">
        <v>8409.5</v>
      </c>
      <c r="KM35" s="16" t="s">
        <v>30</v>
      </c>
      <c r="KN35" s="17">
        <v>8667.6</v>
      </c>
      <c r="KO35" s="16" t="s">
        <v>30</v>
      </c>
      <c r="KP35" s="18">
        <v>8620</v>
      </c>
      <c r="KQ35" s="16" t="s">
        <v>30</v>
      </c>
      <c r="KR35" s="17">
        <v>8493.2999999999993</v>
      </c>
      <c r="KS35" s="16" t="s">
        <v>30</v>
      </c>
      <c r="KT35" s="17">
        <v>8159.1</v>
      </c>
      <c r="KU35" s="16" t="s">
        <v>30</v>
      </c>
      <c r="KV35" s="17">
        <v>8636.9</v>
      </c>
      <c r="KW35" s="16" t="s">
        <v>30</v>
      </c>
      <c r="KX35" s="17">
        <v>8555.4</v>
      </c>
      <c r="KY35" s="16" t="s">
        <v>30</v>
      </c>
      <c r="KZ35" s="17">
        <v>8680.2000000000007</v>
      </c>
      <c r="LA35" s="16" t="s">
        <v>30</v>
      </c>
      <c r="LB35" s="17">
        <v>8421.1</v>
      </c>
      <c r="LC35" s="16" t="s">
        <v>30</v>
      </c>
      <c r="LD35" s="17">
        <v>8960.2999999999993</v>
      </c>
      <c r="LE35" s="16" t="s">
        <v>30</v>
      </c>
      <c r="LF35" s="17">
        <v>8918.7999999999993</v>
      </c>
      <c r="LG35" s="16" t="s">
        <v>30</v>
      </c>
      <c r="LH35" s="17">
        <v>8916.1</v>
      </c>
      <c r="LI35" s="16" t="s">
        <v>30</v>
      </c>
      <c r="LJ35" s="17">
        <v>8590.6</v>
      </c>
      <c r="LK35" s="16" t="s">
        <v>30</v>
      </c>
      <c r="LL35" s="17">
        <v>9126.9</v>
      </c>
      <c r="LM35" s="16" t="s">
        <v>30</v>
      </c>
      <c r="LN35" s="17">
        <v>9153.5</v>
      </c>
      <c r="LO35" s="16" t="s">
        <v>30</v>
      </c>
      <c r="LP35" s="17">
        <v>9175.4</v>
      </c>
      <c r="LQ35" s="16" t="s">
        <v>30</v>
      </c>
      <c r="LR35" s="17">
        <v>8783.5</v>
      </c>
      <c r="LS35" s="16" t="s">
        <v>30</v>
      </c>
      <c r="LT35" s="17">
        <v>9449.7000000000007</v>
      </c>
      <c r="LU35" s="16" t="s">
        <v>30</v>
      </c>
      <c r="LV35" s="17">
        <v>9459.6</v>
      </c>
      <c r="LW35" s="16" t="s">
        <v>30</v>
      </c>
      <c r="LX35" s="17">
        <v>9491.6</v>
      </c>
      <c r="LY35" s="16" t="s">
        <v>30</v>
      </c>
      <c r="LZ35" s="17">
        <v>9267.9</v>
      </c>
      <c r="MA35" s="16" t="s">
        <v>30</v>
      </c>
      <c r="MB35" s="17">
        <v>9894.6</v>
      </c>
      <c r="MC35" s="16" t="s">
        <v>30</v>
      </c>
      <c r="MD35" s="17">
        <v>9892.6</v>
      </c>
      <c r="ME35" s="16" t="s">
        <v>30</v>
      </c>
      <c r="MF35" s="17">
        <v>10165.5</v>
      </c>
      <c r="MG35" s="16" t="s">
        <v>30</v>
      </c>
      <c r="MH35" s="17">
        <v>9617.4</v>
      </c>
      <c r="MI35" s="16" t="s">
        <v>30</v>
      </c>
      <c r="MJ35" s="17">
        <v>10313.799999999999</v>
      </c>
      <c r="MK35" s="16" t="s">
        <v>30</v>
      </c>
      <c r="ML35" s="17">
        <v>10375.700000000001</v>
      </c>
      <c r="MM35" s="16" t="s">
        <v>30</v>
      </c>
      <c r="MN35" s="17">
        <v>10636.5</v>
      </c>
      <c r="MO35" s="16" t="s">
        <v>30</v>
      </c>
      <c r="MP35" s="17">
        <v>10077.700000000001</v>
      </c>
      <c r="MQ35" s="16" t="s">
        <v>30</v>
      </c>
      <c r="MR35" s="17">
        <v>10678.8</v>
      </c>
      <c r="MS35" s="16" t="s">
        <v>30</v>
      </c>
      <c r="MT35" s="17">
        <v>10751.8</v>
      </c>
      <c r="MU35" s="16" t="s">
        <v>30</v>
      </c>
      <c r="MV35" s="18">
        <v>10929</v>
      </c>
      <c r="MW35" s="16" t="s">
        <v>30</v>
      </c>
      <c r="MX35" s="17">
        <v>10163.299999999999</v>
      </c>
      <c r="MY35" s="16" t="s">
        <v>30</v>
      </c>
      <c r="MZ35" s="17">
        <v>9577.2999999999993</v>
      </c>
      <c r="NA35" s="16" t="s">
        <v>30</v>
      </c>
      <c r="NB35" s="17">
        <v>10602.6</v>
      </c>
      <c r="NC35" s="16" t="s">
        <v>30</v>
      </c>
      <c r="ND35" s="18">
        <v>10796</v>
      </c>
      <c r="NE35" s="16" t="s">
        <v>30</v>
      </c>
      <c r="NF35" s="17">
        <v>10318.1</v>
      </c>
      <c r="NG35" s="16" t="s">
        <v>30</v>
      </c>
      <c r="NH35" s="17">
        <v>11030.4</v>
      </c>
      <c r="NI35" s="16" t="s">
        <v>30</v>
      </c>
      <c r="NJ35" s="18">
        <v>11256</v>
      </c>
      <c r="NK35" s="16" t="s">
        <v>30</v>
      </c>
      <c r="NL35" s="17">
        <v>11779.1</v>
      </c>
      <c r="NM35" s="16" t="s">
        <v>30</v>
      </c>
      <c r="NN35" s="17">
        <v>10743.7</v>
      </c>
      <c r="NO35" s="16" t="s">
        <v>30</v>
      </c>
      <c r="NP35" s="17">
        <v>11503.7</v>
      </c>
      <c r="NQ35" s="16" t="s">
        <v>30</v>
      </c>
      <c r="NR35" s="17">
        <v>11411.1</v>
      </c>
      <c r="NS35" s="16" t="s">
        <v>30</v>
      </c>
      <c r="NT35" s="17">
        <v>11905.3</v>
      </c>
      <c r="NU35" s="16" t="s">
        <v>30</v>
      </c>
      <c r="NV35" s="17">
        <v>10995.3</v>
      </c>
      <c r="NW35" s="16" t="s">
        <v>30</v>
      </c>
      <c r="NX35" s="17">
        <v>11849.2</v>
      </c>
      <c r="NY35" s="16" t="s">
        <v>30</v>
      </c>
      <c r="NZ35" s="17">
        <v>11713.1</v>
      </c>
      <c r="OA35" s="16" t="s">
        <v>30</v>
      </c>
      <c r="OB35" s="17">
        <v>12197.4</v>
      </c>
      <c r="OC35" s="16" t="s">
        <v>30</v>
      </c>
      <c r="OD35" s="18">
        <v>11278</v>
      </c>
      <c r="OE35" s="16" t="s">
        <v>30</v>
      </c>
      <c r="OF35" s="17">
        <v>11992.2</v>
      </c>
      <c r="OG35" s="16" t="s">
        <v>30</v>
      </c>
      <c r="OH35" s="18">
        <v>11905</v>
      </c>
      <c r="OI35" s="16" t="s">
        <v>30</v>
      </c>
      <c r="OJ35" s="17">
        <v>12401.5</v>
      </c>
      <c r="OK35" s="16" t="s">
        <v>30</v>
      </c>
      <c r="OL35" s="17">
        <v>11202.1</v>
      </c>
      <c r="OM35" s="16" t="s">
        <v>30</v>
      </c>
      <c r="ON35" s="17">
        <v>12068.3</v>
      </c>
      <c r="OO35" s="16" t="s">
        <v>30</v>
      </c>
      <c r="OP35" s="16" t="s">
        <v>235</v>
      </c>
      <c r="OQ35" s="16" t="s">
        <v>30</v>
      </c>
    </row>
    <row r="36" spans="1:407" x14ac:dyDescent="0.3">
      <c r="A36" s="12" t="s">
        <v>261</v>
      </c>
      <c r="B36" s="13" t="s">
        <v>235</v>
      </c>
      <c r="C36" s="13" t="s">
        <v>30</v>
      </c>
      <c r="D36" s="13" t="s">
        <v>235</v>
      </c>
      <c r="E36" s="13" t="s">
        <v>30</v>
      </c>
      <c r="F36" s="13" t="s">
        <v>235</v>
      </c>
      <c r="G36" s="13" t="s">
        <v>30</v>
      </c>
      <c r="H36" s="13" t="s">
        <v>235</v>
      </c>
      <c r="I36" s="13" t="s">
        <v>30</v>
      </c>
      <c r="J36" s="13" t="s">
        <v>235</v>
      </c>
      <c r="K36" s="13" t="s">
        <v>30</v>
      </c>
      <c r="L36" s="13" t="s">
        <v>235</v>
      </c>
      <c r="M36" s="13" t="s">
        <v>30</v>
      </c>
      <c r="N36" s="13" t="s">
        <v>235</v>
      </c>
      <c r="O36" s="13" t="s">
        <v>30</v>
      </c>
      <c r="P36" s="13" t="s">
        <v>235</v>
      </c>
      <c r="Q36" s="13" t="s">
        <v>30</v>
      </c>
      <c r="R36" s="13" t="s">
        <v>235</v>
      </c>
      <c r="S36" s="13" t="s">
        <v>30</v>
      </c>
      <c r="T36" s="13" t="s">
        <v>235</v>
      </c>
      <c r="U36" s="13" t="s">
        <v>30</v>
      </c>
      <c r="V36" s="13" t="s">
        <v>235</v>
      </c>
      <c r="W36" s="13" t="s">
        <v>30</v>
      </c>
      <c r="X36" s="13" t="s">
        <v>235</v>
      </c>
      <c r="Y36" s="13" t="s">
        <v>30</v>
      </c>
      <c r="Z36" s="13" t="s">
        <v>235</v>
      </c>
      <c r="AA36" s="13" t="s">
        <v>30</v>
      </c>
      <c r="AB36" s="13" t="s">
        <v>235</v>
      </c>
      <c r="AC36" s="13" t="s">
        <v>30</v>
      </c>
      <c r="AD36" s="13" t="s">
        <v>235</v>
      </c>
      <c r="AE36" s="13" t="s">
        <v>30</v>
      </c>
      <c r="AF36" s="13" t="s">
        <v>235</v>
      </c>
      <c r="AG36" s="13" t="s">
        <v>30</v>
      </c>
      <c r="AH36" s="13" t="s">
        <v>235</v>
      </c>
      <c r="AI36" s="13" t="s">
        <v>30</v>
      </c>
      <c r="AJ36" s="13" t="s">
        <v>235</v>
      </c>
      <c r="AK36" s="13" t="s">
        <v>30</v>
      </c>
      <c r="AL36" s="13" t="s">
        <v>235</v>
      </c>
      <c r="AM36" s="13" t="s">
        <v>30</v>
      </c>
      <c r="AN36" s="13" t="s">
        <v>235</v>
      </c>
      <c r="AO36" s="13" t="s">
        <v>30</v>
      </c>
      <c r="AP36" s="13" t="s">
        <v>235</v>
      </c>
      <c r="AQ36" s="13" t="s">
        <v>30</v>
      </c>
      <c r="AR36" s="13" t="s">
        <v>235</v>
      </c>
      <c r="AS36" s="13" t="s">
        <v>30</v>
      </c>
      <c r="AT36" s="13" t="s">
        <v>235</v>
      </c>
      <c r="AU36" s="13" t="s">
        <v>30</v>
      </c>
      <c r="AV36" s="13" t="s">
        <v>235</v>
      </c>
      <c r="AW36" s="13" t="s">
        <v>30</v>
      </c>
      <c r="AX36" s="13" t="s">
        <v>235</v>
      </c>
      <c r="AY36" s="13" t="s">
        <v>30</v>
      </c>
      <c r="AZ36" s="13" t="s">
        <v>235</v>
      </c>
      <c r="BA36" s="13" t="s">
        <v>30</v>
      </c>
      <c r="BB36" s="13" t="s">
        <v>235</v>
      </c>
      <c r="BC36" s="13" t="s">
        <v>30</v>
      </c>
      <c r="BD36" s="13" t="s">
        <v>235</v>
      </c>
      <c r="BE36" s="13" t="s">
        <v>30</v>
      </c>
      <c r="BF36" s="13" t="s">
        <v>235</v>
      </c>
      <c r="BG36" s="13" t="s">
        <v>30</v>
      </c>
      <c r="BH36" s="13" t="s">
        <v>235</v>
      </c>
      <c r="BI36" s="13" t="s">
        <v>30</v>
      </c>
      <c r="BJ36" s="13" t="s">
        <v>235</v>
      </c>
      <c r="BK36" s="13" t="s">
        <v>30</v>
      </c>
      <c r="BL36" s="13" t="s">
        <v>235</v>
      </c>
      <c r="BM36" s="13" t="s">
        <v>30</v>
      </c>
      <c r="BN36" s="13" t="s">
        <v>235</v>
      </c>
      <c r="BO36" s="13" t="s">
        <v>30</v>
      </c>
      <c r="BP36" s="13" t="s">
        <v>235</v>
      </c>
      <c r="BQ36" s="13" t="s">
        <v>30</v>
      </c>
      <c r="BR36" s="13" t="s">
        <v>235</v>
      </c>
      <c r="BS36" s="13" t="s">
        <v>30</v>
      </c>
      <c r="BT36" s="13" t="s">
        <v>235</v>
      </c>
      <c r="BU36" s="13" t="s">
        <v>30</v>
      </c>
      <c r="BV36" s="13" t="s">
        <v>235</v>
      </c>
      <c r="BW36" s="13" t="s">
        <v>30</v>
      </c>
      <c r="BX36" s="13" t="s">
        <v>235</v>
      </c>
      <c r="BY36" s="13" t="s">
        <v>30</v>
      </c>
      <c r="BZ36" s="13" t="s">
        <v>235</v>
      </c>
      <c r="CA36" s="13" t="s">
        <v>30</v>
      </c>
      <c r="CB36" s="13" t="s">
        <v>235</v>
      </c>
      <c r="CC36" s="13" t="s">
        <v>30</v>
      </c>
      <c r="CD36" s="13" t="s">
        <v>235</v>
      </c>
      <c r="CE36" s="13" t="s">
        <v>30</v>
      </c>
      <c r="CF36" s="13" t="s">
        <v>235</v>
      </c>
      <c r="CG36" s="13" t="s">
        <v>30</v>
      </c>
      <c r="CH36" s="13" t="s">
        <v>235</v>
      </c>
      <c r="CI36" s="13" t="s">
        <v>30</v>
      </c>
      <c r="CJ36" s="13" t="s">
        <v>235</v>
      </c>
      <c r="CK36" s="13" t="s">
        <v>30</v>
      </c>
      <c r="CL36" s="13" t="s">
        <v>235</v>
      </c>
      <c r="CM36" s="13" t="s">
        <v>30</v>
      </c>
      <c r="CN36" s="13" t="s">
        <v>235</v>
      </c>
      <c r="CO36" s="13" t="s">
        <v>30</v>
      </c>
      <c r="CP36" s="13" t="s">
        <v>235</v>
      </c>
      <c r="CQ36" s="13" t="s">
        <v>30</v>
      </c>
      <c r="CR36" s="13" t="s">
        <v>235</v>
      </c>
      <c r="CS36" s="13" t="s">
        <v>30</v>
      </c>
      <c r="CT36" s="13" t="s">
        <v>235</v>
      </c>
      <c r="CU36" s="13" t="s">
        <v>30</v>
      </c>
      <c r="CV36" s="13" t="s">
        <v>235</v>
      </c>
      <c r="CW36" s="13" t="s">
        <v>30</v>
      </c>
      <c r="CX36" s="13" t="s">
        <v>235</v>
      </c>
      <c r="CY36" s="13" t="s">
        <v>30</v>
      </c>
      <c r="CZ36" s="13" t="s">
        <v>235</v>
      </c>
      <c r="DA36" s="13" t="s">
        <v>30</v>
      </c>
      <c r="DB36" s="13" t="s">
        <v>235</v>
      </c>
      <c r="DC36" s="13" t="s">
        <v>30</v>
      </c>
      <c r="DD36" s="13" t="s">
        <v>235</v>
      </c>
      <c r="DE36" s="13" t="s">
        <v>30</v>
      </c>
      <c r="DF36" s="13" t="s">
        <v>235</v>
      </c>
      <c r="DG36" s="13" t="s">
        <v>30</v>
      </c>
      <c r="DH36" s="13" t="s">
        <v>235</v>
      </c>
      <c r="DI36" s="13" t="s">
        <v>30</v>
      </c>
      <c r="DJ36" s="13" t="s">
        <v>235</v>
      </c>
      <c r="DK36" s="13" t="s">
        <v>30</v>
      </c>
      <c r="DL36" s="13" t="s">
        <v>235</v>
      </c>
      <c r="DM36" s="13" t="s">
        <v>30</v>
      </c>
      <c r="DN36" s="13" t="s">
        <v>235</v>
      </c>
      <c r="DO36" s="13" t="s">
        <v>30</v>
      </c>
      <c r="DP36" s="13" t="s">
        <v>235</v>
      </c>
      <c r="DQ36" s="13" t="s">
        <v>30</v>
      </c>
      <c r="DR36" s="13" t="s">
        <v>235</v>
      </c>
      <c r="DS36" s="13" t="s">
        <v>30</v>
      </c>
      <c r="DT36" s="13" t="s">
        <v>235</v>
      </c>
      <c r="DU36" s="13" t="s">
        <v>30</v>
      </c>
      <c r="DV36" s="13" t="s">
        <v>235</v>
      </c>
      <c r="DW36" s="13" t="s">
        <v>30</v>
      </c>
      <c r="DX36" s="13" t="s">
        <v>235</v>
      </c>
      <c r="DY36" s="13" t="s">
        <v>30</v>
      </c>
      <c r="DZ36" s="13" t="s">
        <v>235</v>
      </c>
      <c r="EA36" s="13" t="s">
        <v>30</v>
      </c>
      <c r="EB36" s="13" t="s">
        <v>235</v>
      </c>
      <c r="EC36" s="13" t="s">
        <v>30</v>
      </c>
      <c r="ED36" s="13" t="s">
        <v>235</v>
      </c>
      <c r="EE36" s="13" t="s">
        <v>30</v>
      </c>
      <c r="EF36" s="13" t="s">
        <v>235</v>
      </c>
      <c r="EG36" s="13" t="s">
        <v>30</v>
      </c>
      <c r="EH36" s="13" t="s">
        <v>235</v>
      </c>
      <c r="EI36" s="13" t="s">
        <v>30</v>
      </c>
      <c r="EJ36" s="13" t="s">
        <v>235</v>
      </c>
      <c r="EK36" s="13" t="s">
        <v>30</v>
      </c>
      <c r="EL36" s="13" t="s">
        <v>235</v>
      </c>
      <c r="EM36" s="13" t="s">
        <v>30</v>
      </c>
      <c r="EN36" s="13" t="s">
        <v>235</v>
      </c>
      <c r="EO36" s="13" t="s">
        <v>30</v>
      </c>
      <c r="EP36" s="13" t="s">
        <v>235</v>
      </c>
      <c r="EQ36" s="13" t="s">
        <v>30</v>
      </c>
      <c r="ER36" s="13" t="s">
        <v>235</v>
      </c>
      <c r="ES36" s="13" t="s">
        <v>30</v>
      </c>
      <c r="ET36" s="13" t="s">
        <v>235</v>
      </c>
      <c r="EU36" s="13" t="s">
        <v>30</v>
      </c>
      <c r="EV36" s="13" t="s">
        <v>235</v>
      </c>
      <c r="EW36" s="13" t="s">
        <v>30</v>
      </c>
      <c r="EX36" s="13" t="s">
        <v>235</v>
      </c>
      <c r="EY36" s="13" t="s">
        <v>30</v>
      </c>
      <c r="EZ36" s="13" t="s">
        <v>235</v>
      </c>
      <c r="FA36" s="13" t="s">
        <v>30</v>
      </c>
      <c r="FB36" s="13" t="s">
        <v>235</v>
      </c>
      <c r="FC36" s="13" t="s">
        <v>30</v>
      </c>
      <c r="FD36" s="13" t="s">
        <v>235</v>
      </c>
      <c r="FE36" s="13" t="s">
        <v>30</v>
      </c>
      <c r="FF36" s="15">
        <v>8701</v>
      </c>
      <c r="FG36" s="13" t="s">
        <v>30</v>
      </c>
      <c r="FH36" s="14">
        <v>9098.2000000000007</v>
      </c>
      <c r="FI36" s="13" t="s">
        <v>30</v>
      </c>
      <c r="FJ36" s="15">
        <v>9129</v>
      </c>
      <c r="FK36" s="13" t="s">
        <v>30</v>
      </c>
      <c r="FL36" s="14">
        <v>8906.5</v>
      </c>
      <c r="FM36" s="13" t="s">
        <v>30</v>
      </c>
      <c r="FN36" s="14">
        <v>9257.7000000000007</v>
      </c>
      <c r="FO36" s="13" t="s">
        <v>30</v>
      </c>
      <c r="FP36" s="14">
        <v>9799.6</v>
      </c>
      <c r="FQ36" s="13" t="s">
        <v>30</v>
      </c>
      <c r="FR36" s="14">
        <v>9931.1</v>
      </c>
      <c r="FS36" s="13" t="s">
        <v>30</v>
      </c>
      <c r="FT36" s="14">
        <v>9592.9</v>
      </c>
      <c r="FU36" s="13" t="s">
        <v>30</v>
      </c>
      <c r="FV36" s="15">
        <v>9851</v>
      </c>
      <c r="FW36" s="13" t="s">
        <v>30</v>
      </c>
      <c r="FX36" s="14">
        <v>10411.9</v>
      </c>
      <c r="FY36" s="13" t="s">
        <v>30</v>
      </c>
      <c r="FZ36" s="15">
        <v>10612</v>
      </c>
      <c r="GA36" s="13" t="s">
        <v>30</v>
      </c>
      <c r="GB36" s="14">
        <v>9835.2000000000007</v>
      </c>
      <c r="GC36" s="13" t="s">
        <v>30</v>
      </c>
      <c r="GD36" s="14">
        <v>10114.799999999999</v>
      </c>
      <c r="GE36" s="13" t="s">
        <v>30</v>
      </c>
      <c r="GF36" s="14">
        <v>10670.6</v>
      </c>
      <c r="GG36" s="13" t="s">
        <v>30</v>
      </c>
      <c r="GH36" s="14">
        <v>10601.7</v>
      </c>
      <c r="GI36" s="13" t="s">
        <v>30</v>
      </c>
      <c r="GJ36" s="14">
        <v>10638.8</v>
      </c>
      <c r="GK36" s="13" t="s">
        <v>30</v>
      </c>
      <c r="GL36" s="14">
        <v>10528.1</v>
      </c>
      <c r="GM36" s="13" t="s">
        <v>30</v>
      </c>
      <c r="GN36" s="14">
        <v>10936.6</v>
      </c>
      <c r="GO36" s="13" t="s">
        <v>30</v>
      </c>
      <c r="GP36" s="14">
        <v>10598.2</v>
      </c>
      <c r="GQ36" s="13" t="s">
        <v>30</v>
      </c>
      <c r="GR36" s="14">
        <v>9905.2999999999993</v>
      </c>
      <c r="GS36" s="13" t="s">
        <v>30</v>
      </c>
      <c r="GT36" s="15">
        <v>9997</v>
      </c>
      <c r="GU36" s="13" t="s">
        <v>30</v>
      </c>
      <c r="GV36" s="14">
        <v>10883.7</v>
      </c>
      <c r="GW36" s="13" t="s">
        <v>30</v>
      </c>
      <c r="GX36" s="14">
        <v>10823.3</v>
      </c>
      <c r="GY36" s="13" t="s">
        <v>30</v>
      </c>
      <c r="GZ36" s="14">
        <v>10523.3</v>
      </c>
      <c r="HA36" s="13" t="s">
        <v>30</v>
      </c>
      <c r="HB36" s="14">
        <v>10196.799999999999</v>
      </c>
      <c r="HC36" s="13" t="s">
        <v>30</v>
      </c>
      <c r="HD36" s="14">
        <v>11297.7</v>
      </c>
      <c r="HE36" s="13" t="s">
        <v>30</v>
      </c>
      <c r="HF36" s="15">
        <v>11319</v>
      </c>
      <c r="HG36" s="13" t="s">
        <v>30</v>
      </c>
      <c r="HH36" s="15">
        <v>11158</v>
      </c>
      <c r="HI36" s="13" t="s">
        <v>30</v>
      </c>
      <c r="HJ36" s="14">
        <v>10594.9</v>
      </c>
      <c r="HK36" s="13" t="s">
        <v>30</v>
      </c>
      <c r="HL36" s="14">
        <v>11538.7</v>
      </c>
      <c r="HM36" s="13" t="s">
        <v>30</v>
      </c>
      <c r="HN36" s="14">
        <v>12045.6</v>
      </c>
      <c r="HO36" s="13" t="s">
        <v>30</v>
      </c>
      <c r="HP36" s="14">
        <v>11591.7</v>
      </c>
      <c r="HQ36" s="13" t="s">
        <v>30</v>
      </c>
      <c r="HR36" s="14">
        <v>11233.9</v>
      </c>
      <c r="HS36" s="13" t="s">
        <v>30</v>
      </c>
      <c r="HT36" s="14">
        <v>12034.3</v>
      </c>
      <c r="HU36" s="13" t="s">
        <v>30</v>
      </c>
      <c r="HV36" s="14">
        <v>12364.8</v>
      </c>
      <c r="HW36" s="13" t="s">
        <v>30</v>
      </c>
      <c r="HX36" s="14">
        <v>12018.2</v>
      </c>
      <c r="HY36" s="13" t="s">
        <v>30</v>
      </c>
      <c r="HZ36" s="14">
        <v>11378.9</v>
      </c>
      <c r="IA36" s="13" t="s">
        <v>30</v>
      </c>
      <c r="IB36" s="14">
        <v>12469.9</v>
      </c>
      <c r="IC36" s="13" t="s">
        <v>30</v>
      </c>
      <c r="ID36" s="14">
        <v>13202.4</v>
      </c>
      <c r="IE36" s="13" t="s">
        <v>30</v>
      </c>
      <c r="IF36" s="15">
        <v>12815</v>
      </c>
      <c r="IG36" s="13" t="s">
        <v>30</v>
      </c>
      <c r="IH36" s="14">
        <v>12000.8</v>
      </c>
      <c r="II36" s="13" t="s">
        <v>30</v>
      </c>
      <c r="IJ36" s="15">
        <v>13345</v>
      </c>
      <c r="IK36" s="13" t="s">
        <v>30</v>
      </c>
      <c r="IL36" s="14">
        <v>14143.9</v>
      </c>
      <c r="IM36" s="13" t="s">
        <v>30</v>
      </c>
      <c r="IN36" s="14">
        <v>13350.6</v>
      </c>
      <c r="IO36" s="13" t="s">
        <v>30</v>
      </c>
      <c r="IP36" s="14">
        <v>13243.5</v>
      </c>
      <c r="IQ36" s="13" t="s">
        <v>30</v>
      </c>
      <c r="IR36" s="15">
        <v>14519</v>
      </c>
      <c r="IS36" s="13" t="s">
        <v>30</v>
      </c>
      <c r="IT36" s="14">
        <v>15333.1</v>
      </c>
      <c r="IU36" s="13" t="s">
        <v>30</v>
      </c>
      <c r="IV36" s="14">
        <v>15200.1</v>
      </c>
      <c r="IW36" s="13" t="s">
        <v>30</v>
      </c>
      <c r="IX36" s="14">
        <v>14479.9</v>
      </c>
      <c r="IY36" s="13" t="s">
        <v>30</v>
      </c>
      <c r="IZ36" s="15">
        <v>16069</v>
      </c>
      <c r="JA36" s="13" t="s">
        <v>30</v>
      </c>
      <c r="JB36" s="14">
        <v>17225.5</v>
      </c>
      <c r="JC36" s="13" t="s">
        <v>30</v>
      </c>
      <c r="JD36" s="14">
        <v>16990.3</v>
      </c>
      <c r="JE36" s="13" t="s">
        <v>30</v>
      </c>
      <c r="JF36" s="14">
        <v>15916.7</v>
      </c>
      <c r="JG36" s="13" t="s">
        <v>30</v>
      </c>
      <c r="JH36" s="14">
        <v>17157.7</v>
      </c>
      <c r="JI36" s="13" t="s">
        <v>30</v>
      </c>
      <c r="JJ36" s="14">
        <v>18273.3</v>
      </c>
      <c r="JK36" s="13" t="s">
        <v>30</v>
      </c>
      <c r="JL36" s="14">
        <v>17296.900000000001</v>
      </c>
      <c r="JM36" s="13" t="s">
        <v>30</v>
      </c>
      <c r="JN36" s="14">
        <v>14756.8</v>
      </c>
      <c r="JO36" s="13" t="s">
        <v>30</v>
      </c>
      <c r="JP36" s="14">
        <v>16185.4</v>
      </c>
      <c r="JQ36" s="13" t="s">
        <v>30</v>
      </c>
      <c r="JR36" s="14">
        <v>17315.2</v>
      </c>
      <c r="JS36" s="13" t="s">
        <v>30</v>
      </c>
      <c r="JT36" s="14">
        <v>16867.5</v>
      </c>
      <c r="JU36" s="13" t="s">
        <v>30</v>
      </c>
      <c r="JV36" s="14">
        <v>15955.7</v>
      </c>
      <c r="JW36" s="13" t="s">
        <v>30</v>
      </c>
      <c r="JX36" s="14">
        <v>17335.900000000001</v>
      </c>
      <c r="JY36" s="13" t="s">
        <v>30</v>
      </c>
      <c r="JZ36" s="14">
        <v>18459.2</v>
      </c>
      <c r="KA36" s="13" t="s">
        <v>30</v>
      </c>
      <c r="KB36" s="14">
        <v>17924.900000000001</v>
      </c>
      <c r="KC36" s="13" t="s">
        <v>30</v>
      </c>
      <c r="KD36" s="14">
        <v>16327.9</v>
      </c>
      <c r="KE36" s="13" t="s">
        <v>30</v>
      </c>
      <c r="KF36" s="14">
        <v>17632.8</v>
      </c>
      <c r="KG36" s="13" t="s">
        <v>30</v>
      </c>
      <c r="KH36" s="14">
        <v>18875.2</v>
      </c>
      <c r="KI36" s="13" t="s">
        <v>30</v>
      </c>
      <c r="KJ36" s="14">
        <v>18109.099999999999</v>
      </c>
      <c r="KK36" s="13" t="s">
        <v>30</v>
      </c>
      <c r="KL36" s="14">
        <v>16881.2</v>
      </c>
      <c r="KM36" s="13" t="s">
        <v>30</v>
      </c>
      <c r="KN36" s="14">
        <v>18102.5</v>
      </c>
      <c r="KO36" s="13" t="s">
        <v>30</v>
      </c>
      <c r="KP36" s="14">
        <v>19245.2</v>
      </c>
      <c r="KQ36" s="13" t="s">
        <v>30</v>
      </c>
      <c r="KR36" s="14">
        <v>18457.400000000001</v>
      </c>
      <c r="KS36" s="13" t="s">
        <v>30</v>
      </c>
      <c r="KT36" s="14">
        <v>16892.2</v>
      </c>
      <c r="KU36" s="13" t="s">
        <v>30</v>
      </c>
      <c r="KV36" s="14">
        <v>18111.599999999999</v>
      </c>
      <c r="KW36" s="13" t="s">
        <v>30</v>
      </c>
      <c r="KX36" s="14">
        <v>19173.2</v>
      </c>
      <c r="KY36" s="13" t="s">
        <v>30</v>
      </c>
      <c r="KZ36" s="14">
        <v>18689.5</v>
      </c>
      <c r="LA36" s="13" t="s">
        <v>30</v>
      </c>
      <c r="LB36" s="14">
        <v>17296.5</v>
      </c>
      <c r="LC36" s="13" t="s">
        <v>30</v>
      </c>
      <c r="LD36" s="14">
        <v>18609.099999999999</v>
      </c>
      <c r="LE36" s="13" t="s">
        <v>30</v>
      </c>
      <c r="LF36" s="14">
        <v>19757.599999999999</v>
      </c>
      <c r="LG36" s="13" t="s">
        <v>30</v>
      </c>
      <c r="LH36" s="14">
        <v>19134.900000000001</v>
      </c>
      <c r="LI36" s="13" t="s">
        <v>30</v>
      </c>
      <c r="LJ36" s="14">
        <v>18158.8</v>
      </c>
      <c r="LK36" s="13" t="s">
        <v>30</v>
      </c>
      <c r="LL36" s="14">
        <v>19433.8</v>
      </c>
      <c r="LM36" s="13" t="s">
        <v>30</v>
      </c>
      <c r="LN36" s="14">
        <v>20684.7</v>
      </c>
      <c r="LO36" s="13" t="s">
        <v>30</v>
      </c>
      <c r="LP36" s="14">
        <v>20200.900000000001</v>
      </c>
      <c r="LQ36" s="13" t="s">
        <v>30</v>
      </c>
      <c r="LR36" s="14">
        <v>18482.400000000001</v>
      </c>
      <c r="LS36" s="13" t="s">
        <v>30</v>
      </c>
      <c r="LT36" s="14">
        <v>19980.099999999999</v>
      </c>
      <c r="LU36" s="13" t="s">
        <v>30</v>
      </c>
      <c r="LV36" s="14">
        <v>21034.7</v>
      </c>
      <c r="LW36" s="13" t="s">
        <v>30</v>
      </c>
      <c r="LX36" s="14">
        <v>20609.8</v>
      </c>
      <c r="LY36" s="13" t="s">
        <v>30</v>
      </c>
      <c r="LZ36" s="15">
        <v>18783</v>
      </c>
      <c r="MA36" s="13" t="s">
        <v>30</v>
      </c>
      <c r="MB36" s="14">
        <v>20517.7</v>
      </c>
      <c r="MC36" s="13" t="s">
        <v>30</v>
      </c>
      <c r="MD36" s="14">
        <v>21509.9</v>
      </c>
      <c r="ME36" s="13" t="s">
        <v>30</v>
      </c>
      <c r="MF36" s="14">
        <v>21085.9</v>
      </c>
      <c r="MG36" s="13" t="s">
        <v>30</v>
      </c>
      <c r="MH36" s="14">
        <v>19459.099999999999</v>
      </c>
      <c r="MI36" s="13" t="s">
        <v>30</v>
      </c>
      <c r="MJ36" s="14">
        <v>21338.9</v>
      </c>
      <c r="MK36" s="13" t="s">
        <v>30</v>
      </c>
      <c r="ML36" s="14">
        <v>22517.1</v>
      </c>
      <c r="MM36" s="13" t="s">
        <v>30</v>
      </c>
      <c r="MN36" s="14">
        <v>21830.7</v>
      </c>
      <c r="MO36" s="13" t="s">
        <v>30</v>
      </c>
      <c r="MP36" s="14">
        <v>20095.2</v>
      </c>
      <c r="MQ36" s="13" t="s">
        <v>30</v>
      </c>
      <c r="MR36" s="14">
        <v>21777.7</v>
      </c>
      <c r="MS36" s="13" t="s">
        <v>30</v>
      </c>
      <c r="MT36" s="14">
        <v>22638.799999999999</v>
      </c>
      <c r="MU36" s="13" t="s">
        <v>30</v>
      </c>
      <c r="MV36" s="14">
        <v>22195.599999999999</v>
      </c>
      <c r="MW36" s="13" t="s">
        <v>30</v>
      </c>
      <c r="MX36" s="14">
        <v>19867.2</v>
      </c>
      <c r="MY36" s="13" t="s">
        <v>30</v>
      </c>
      <c r="MZ36" s="14">
        <v>19865.8</v>
      </c>
      <c r="NA36" s="13" t="s">
        <v>30</v>
      </c>
      <c r="NB36" s="15">
        <v>22627</v>
      </c>
      <c r="NC36" s="13" t="s">
        <v>30</v>
      </c>
      <c r="ND36" s="15">
        <v>22295</v>
      </c>
      <c r="NE36" s="13" t="s">
        <v>30</v>
      </c>
      <c r="NF36" s="14">
        <v>20374.2</v>
      </c>
      <c r="NG36" s="13" t="s">
        <v>30</v>
      </c>
      <c r="NH36" s="14">
        <v>22280.9</v>
      </c>
      <c r="NI36" s="13" t="s">
        <v>30</v>
      </c>
      <c r="NJ36" s="14">
        <v>23296.7</v>
      </c>
      <c r="NK36" s="13" t="s">
        <v>30</v>
      </c>
      <c r="NL36" s="14">
        <v>22989.7</v>
      </c>
      <c r="NM36" s="13" t="s">
        <v>30</v>
      </c>
      <c r="NN36" s="14">
        <v>20405.099999999999</v>
      </c>
      <c r="NO36" s="13" t="s">
        <v>30</v>
      </c>
      <c r="NP36" s="14">
        <v>22189.9</v>
      </c>
      <c r="NQ36" s="13" t="s">
        <v>30</v>
      </c>
      <c r="NR36" s="14">
        <v>23457.599999999999</v>
      </c>
      <c r="NS36" s="13" t="s">
        <v>30</v>
      </c>
      <c r="NT36" s="14">
        <v>22973.1</v>
      </c>
      <c r="NU36" s="13" t="s">
        <v>30</v>
      </c>
      <c r="NV36" s="14">
        <v>21338.5</v>
      </c>
      <c r="NW36" s="13" t="s">
        <v>30</v>
      </c>
      <c r="NX36" s="14">
        <v>23112.9</v>
      </c>
      <c r="NY36" s="13" t="s">
        <v>30</v>
      </c>
      <c r="NZ36" s="14">
        <v>24255.7</v>
      </c>
      <c r="OA36" s="13" t="s">
        <v>30</v>
      </c>
      <c r="OB36" s="14">
        <v>24284.7</v>
      </c>
      <c r="OC36" s="13" t="s">
        <v>30</v>
      </c>
      <c r="OD36" s="14">
        <v>21774.799999999999</v>
      </c>
      <c r="OE36" s="13" t="s">
        <v>30</v>
      </c>
      <c r="OF36" s="14">
        <v>23530.799999999999</v>
      </c>
      <c r="OG36" s="13" t="s">
        <v>30</v>
      </c>
      <c r="OH36" s="14">
        <v>24553.7</v>
      </c>
      <c r="OI36" s="13" t="s">
        <v>30</v>
      </c>
      <c r="OJ36" s="14">
        <v>24223.8</v>
      </c>
      <c r="OK36" s="13" t="s">
        <v>30</v>
      </c>
      <c r="OL36" s="14">
        <v>21946.6</v>
      </c>
      <c r="OM36" s="13" t="s">
        <v>30</v>
      </c>
      <c r="ON36" s="14">
        <v>23528.799999999999</v>
      </c>
      <c r="OO36" s="13" t="s">
        <v>30</v>
      </c>
      <c r="OP36" s="13" t="s">
        <v>235</v>
      </c>
      <c r="OQ36" s="13" t="s">
        <v>30</v>
      </c>
    </row>
    <row r="37" spans="1:407" x14ac:dyDescent="0.3">
      <c r="A37" s="12" t="s">
        <v>262</v>
      </c>
      <c r="B37" s="16" t="s">
        <v>235</v>
      </c>
      <c r="C37" s="16" t="s">
        <v>30</v>
      </c>
      <c r="D37" s="16" t="s">
        <v>235</v>
      </c>
      <c r="E37" s="16" t="s">
        <v>30</v>
      </c>
      <c r="F37" s="16" t="s">
        <v>235</v>
      </c>
      <c r="G37" s="16" t="s">
        <v>30</v>
      </c>
      <c r="H37" s="16" t="s">
        <v>235</v>
      </c>
      <c r="I37" s="16" t="s">
        <v>30</v>
      </c>
      <c r="J37" s="16" t="s">
        <v>235</v>
      </c>
      <c r="K37" s="16" t="s">
        <v>30</v>
      </c>
      <c r="L37" s="16" t="s">
        <v>235</v>
      </c>
      <c r="M37" s="16" t="s">
        <v>30</v>
      </c>
      <c r="N37" s="16" t="s">
        <v>235</v>
      </c>
      <c r="O37" s="16" t="s">
        <v>30</v>
      </c>
      <c r="P37" s="16" t="s">
        <v>235</v>
      </c>
      <c r="Q37" s="16" t="s">
        <v>30</v>
      </c>
      <c r="R37" s="16" t="s">
        <v>235</v>
      </c>
      <c r="S37" s="16" t="s">
        <v>30</v>
      </c>
      <c r="T37" s="16" t="s">
        <v>235</v>
      </c>
      <c r="U37" s="16" t="s">
        <v>30</v>
      </c>
      <c r="V37" s="16" t="s">
        <v>235</v>
      </c>
      <c r="W37" s="16" t="s">
        <v>30</v>
      </c>
      <c r="X37" s="16" t="s">
        <v>235</v>
      </c>
      <c r="Y37" s="16" t="s">
        <v>30</v>
      </c>
      <c r="Z37" s="16" t="s">
        <v>235</v>
      </c>
      <c r="AA37" s="16" t="s">
        <v>30</v>
      </c>
      <c r="AB37" s="16" t="s">
        <v>235</v>
      </c>
      <c r="AC37" s="16" t="s">
        <v>30</v>
      </c>
      <c r="AD37" s="16" t="s">
        <v>235</v>
      </c>
      <c r="AE37" s="16" t="s">
        <v>30</v>
      </c>
      <c r="AF37" s="16" t="s">
        <v>235</v>
      </c>
      <c r="AG37" s="16" t="s">
        <v>30</v>
      </c>
      <c r="AH37" s="16" t="s">
        <v>235</v>
      </c>
      <c r="AI37" s="16" t="s">
        <v>30</v>
      </c>
      <c r="AJ37" s="16" t="s">
        <v>235</v>
      </c>
      <c r="AK37" s="16" t="s">
        <v>30</v>
      </c>
      <c r="AL37" s="16" t="s">
        <v>235</v>
      </c>
      <c r="AM37" s="16" t="s">
        <v>30</v>
      </c>
      <c r="AN37" s="16" t="s">
        <v>235</v>
      </c>
      <c r="AO37" s="16" t="s">
        <v>30</v>
      </c>
      <c r="AP37" s="16" t="s">
        <v>235</v>
      </c>
      <c r="AQ37" s="16" t="s">
        <v>30</v>
      </c>
      <c r="AR37" s="16" t="s">
        <v>235</v>
      </c>
      <c r="AS37" s="16" t="s">
        <v>30</v>
      </c>
      <c r="AT37" s="16" t="s">
        <v>235</v>
      </c>
      <c r="AU37" s="16" t="s">
        <v>30</v>
      </c>
      <c r="AV37" s="16" t="s">
        <v>235</v>
      </c>
      <c r="AW37" s="16" t="s">
        <v>30</v>
      </c>
      <c r="AX37" s="16" t="s">
        <v>235</v>
      </c>
      <c r="AY37" s="16" t="s">
        <v>30</v>
      </c>
      <c r="AZ37" s="16" t="s">
        <v>235</v>
      </c>
      <c r="BA37" s="16" t="s">
        <v>30</v>
      </c>
      <c r="BB37" s="16" t="s">
        <v>235</v>
      </c>
      <c r="BC37" s="16" t="s">
        <v>30</v>
      </c>
      <c r="BD37" s="16" t="s">
        <v>235</v>
      </c>
      <c r="BE37" s="16" t="s">
        <v>30</v>
      </c>
      <c r="BF37" s="16" t="s">
        <v>235</v>
      </c>
      <c r="BG37" s="16" t="s">
        <v>30</v>
      </c>
      <c r="BH37" s="16" t="s">
        <v>235</v>
      </c>
      <c r="BI37" s="16" t="s">
        <v>30</v>
      </c>
      <c r="BJ37" s="16" t="s">
        <v>235</v>
      </c>
      <c r="BK37" s="16" t="s">
        <v>30</v>
      </c>
      <c r="BL37" s="16" t="s">
        <v>235</v>
      </c>
      <c r="BM37" s="16" t="s">
        <v>30</v>
      </c>
      <c r="BN37" s="16" t="s">
        <v>235</v>
      </c>
      <c r="BO37" s="16" t="s">
        <v>30</v>
      </c>
      <c r="BP37" s="16" t="s">
        <v>235</v>
      </c>
      <c r="BQ37" s="16" t="s">
        <v>30</v>
      </c>
      <c r="BR37" s="16" t="s">
        <v>235</v>
      </c>
      <c r="BS37" s="16" t="s">
        <v>30</v>
      </c>
      <c r="BT37" s="16" t="s">
        <v>235</v>
      </c>
      <c r="BU37" s="16" t="s">
        <v>30</v>
      </c>
      <c r="BV37" s="16" t="s">
        <v>235</v>
      </c>
      <c r="BW37" s="16" t="s">
        <v>30</v>
      </c>
      <c r="BX37" s="16" t="s">
        <v>235</v>
      </c>
      <c r="BY37" s="16" t="s">
        <v>30</v>
      </c>
      <c r="BZ37" s="16" t="s">
        <v>235</v>
      </c>
      <c r="CA37" s="16" t="s">
        <v>30</v>
      </c>
      <c r="CB37" s="16" t="s">
        <v>235</v>
      </c>
      <c r="CC37" s="16" t="s">
        <v>30</v>
      </c>
      <c r="CD37" s="16" t="s">
        <v>235</v>
      </c>
      <c r="CE37" s="16" t="s">
        <v>30</v>
      </c>
      <c r="CF37" s="16" t="s">
        <v>235</v>
      </c>
      <c r="CG37" s="16" t="s">
        <v>30</v>
      </c>
      <c r="CH37" s="16" t="s">
        <v>235</v>
      </c>
      <c r="CI37" s="16" t="s">
        <v>30</v>
      </c>
      <c r="CJ37" s="16" t="s">
        <v>235</v>
      </c>
      <c r="CK37" s="16" t="s">
        <v>30</v>
      </c>
      <c r="CL37" s="16" t="s">
        <v>235</v>
      </c>
      <c r="CM37" s="16" t="s">
        <v>30</v>
      </c>
      <c r="CN37" s="16" t="s">
        <v>235</v>
      </c>
      <c r="CO37" s="16" t="s">
        <v>30</v>
      </c>
      <c r="CP37" s="16" t="s">
        <v>235</v>
      </c>
      <c r="CQ37" s="16" t="s">
        <v>30</v>
      </c>
      <c r="CR37" s="16" t="s">
        <v>235</v>
      </c>
      <c r="CS37" s="16" t="s">
        <v>30</v>
      </c>
      <c r="CT37" s="16" t="s">
        <v>235</v>
      </c>
      <c r="CU37" s="16" t="s">
        <v>30</v>
      </c>
      <c r="CV37" s="16" t="s">
        <v>235</v>
      </c>
      <c r="CW37" s="16" t="s">
        <v>30</v>
      </c>
      <c r="CX37" s="16" t="s">
        <v>235</v>
      </c>
      <c r="CY37" s="16" t="s">
        <v>30</v>
      </c>
      <c r="CZ37" s="16" t="s">
        <v>235</v>
      </c>
      <c r="DA37" s="16" t="s">
        <v>30</v>
      </c>
      <c r="DB37" s="16" t="s">
        <v>235</v>
      </c>
      <c r="DC37" s="16" t="s">
        <v>30</v>
      </c>
      <c r="DD37" s="16" t="s">
        <v>235</v>
      </c>
      <c r="DE37" s="16" t="s">
        <v>30</v>
      </c>
      <c r="DF37" s="16" t="s">
        <v>235</v>
      </c>
      <c r="DG37" s="16" t="s">
        <v>30</v>
      </c>
      <c r="DH37" s="16" t="s">
        <v>235</v>
      </c>
      <c r="DI37" s="16" t="s">
        <v>30</v>
      </c>
      <c r="DJ37" s="16" t="s">
        <v>235</v>
      </c>
      <c r="DK37" s="16" t="s">
        <v>30</v>
      </c>
      <c r="DL37" s="16" t="s">
        <v>235</v>
      </c>
      <c r="DM37" s="16" t="s">
        <v>30</v>
      </c>
      <c r="DN37" s="16" t="s">
        <v>235</v>
      </c>
      <c r="DO37" s="16" t="s">
        <v>30</v>
      </c>
      <c r="DP37" s="16" t="s">
        <v>235</v>
      </c>
      <c r="DQ37" s="16" t="s">
        <v>30</v>
      </c>
      <c r="DR37" s="17">
        <v>31445.599999999999</v>
      </c>
      <c r="DS37" s="16" t="s">
        <v>30</v>
      </c>
      <c r="DT37" s="17">
        <v>33027.599999999999</v>
      </c>
      <c r="DU37" s="16" t="s">
        <v>30</v>
      </c>
      <c r="DV37" s="17">
        <v>32033.1</v>
      </c>
      <c r="DW37" s="16" t="s">
        <v>30</v>
      </c>
      <c r="DX37" s="17">
        <v>33414.300000000003</v>
      </c>
      <c r="DY37" s="16" t="s">
        <v>30</v>
      </c>
      <c r="DZ37" s="17">
        <v>29505.599999999999</v>
      </c>
      <c r="EA37" s="16" t="s">
        <v>30</v>
      </c>
      <c r="EB37" s="17">
        <v>31062.1</v>
      </c>
      <c r="EC37" s="16" t="s">
        <v>30</v>
      </c>
      <c r="ED37" s="17">
        <v>30179.200000000001</v>
      </c>
      <c r="EE37" s="16" t="s">
        <v>30</v>
      </c>
      <c r="EF37" s="17">
        <v>31356.400000000001</v>
      </c>
      <c r="EG37" s="16" t="s">
        <v>30</v>
      </c>
      <c r="EH37" s="17">
        <v>28393.3</v>
      </c>
      <c r="EI37" s="16" t="s">
        <v>30</v>
      </c>
      <c r="EJ37" s="17">
        <v>29914.7</v>
      </c>
      <c r="EK37" s="16" t="s">
        <v>30</v>
      </c>
      <c r="EL37" s="17">
        <v>29368.6</v>
      </c>
      <c r="EM37" s="16" t="s">
        <v>30</v>
      </c>
      <c r="EN37" s="17">
        <v>30722.1</v>
      </c>
      <c r="EO37" s="16" t="s">
        <v>30</v>
      </c>
      <c r="EP37" s="17">
        <v>27925.8</v>
      </c>
      <c r="EQ37" s="16" t="s">
        <v>30</v>
      </c>
      <c r="ER37" s="17">
        <v>29568.3</v>
      </c>
      <c r="ES37" s="16" t="s">
        <v>30</v>
      </c>
      <c r="ET37" s="17">
        <v>29480.1</v>
      </c>
      <c r="EU37" s="16" t="s">
        <v>30</v>
      </c>
      <c r="EV37" s="17">
        <v>31183.200000000001</v>
      </c>
      <c r="EW37" s="16" t="s">
        <v>30</v>
      </c>
      <c r="EX37" s="17">
        <v>28499.5</v>
      </c>
      <c r="EY37" s="16" t="s">
        <v>30</v>
      </c>
      <c r="EZ37" s="17">
        <v>30629.7</v>
      </c>
      <c r="FA37" s="16" t="s">
        <v>30</v>
      </c>
      <c r="FB37" s="17">
        <v>31032.3</v>
      </c>
      <c r="FC37" s="16" t="s">
        <v>30</v>
      </c>
      <c r="FD37" s="17">
        <v>33434.5</v>
      </c>
      <c r="FE37" s="16" t="s">
        <v>30</v>
      </c>
      <c r="FF37" s="18">
        <v>30090</v>
      </c>
      <c r="FG37" s="16" t="s">
        <v>30</v>
      </c>
      <c r="FH37" s="17">
        <v>32774.699999999997</v>
      </c>
      <c r="FI37" s="16" t="s">
        <v>30</v>
      </c>
      <c r="FJ37" s="17">
        <v>32092.6</v>
      </c>
      <c r="FK37" s="16" t="s">
        <v>30</v>
      </c>
      <c r="FL37" s="17">
        <v>33889.199999999997</v>
      </c>
      <c r="FM37" s="16" t="s">
        <v>30</v>
      </c>
      <c r="FN37" s="17">
        <v>31474.3</v>
      </c>
      <c r="FO37" s="16" t="s">
        <v>30</v>
      </c>
      <c r="FP37" s="17">
        <v>33361.199999999997</v>
      </c>
      <c r="FQ37" s="16" t="s">
        <v>30</v>
      </c>
      <c r="FR37" s="17">
        <v>33088.1</v>
      </c>
      <c r="FS37" s="16" t="s">
        <v>30</v>
      </c>
      <c r="FT37" s="17">
        <v>35754.800000000003</v>
      </c>
      <c r="FU37" s="16" t="s">
        <v>30</v>
      </c>
      <c r="FV37" s="17">
        <v>32069.3</v>
      </c>
      <c r="FW37" s="16" t="s">
        <v>30</v>
      </c>
      <c r="FX37" s="17">
        <v>35236.300000000003</v>
      </c>
      <c r="FY37" s="16" t="s">
        <v>30</v>
      </c>
      <c r="FZ37" s="17">
        <v>35473.300000000003</v>
      </c>
      <c r="GA37" s="16" t="s">
        <v>30</v>
      </c>
      <c r="GB37" s="17">
        <v>39272.5</v>
      </c>
      <c r="GC37" s="16" t="s">
        <v>30</v>
      </c>
      <c r="GD37" s="17">
        <v>34372.6</v>
      </c>
      <c r="GE37" s="16" t="s">
        <v>30</v>
      </c>
      <c r="GF37" s="17">
        <v>37274.1</v>
      </c>
      <c r="GG37" s="16" t="s">
        <v>30</v>
      </c>
      <c r="GH37" s="17">
        <v>37326.1</v>
      </c>
      <c r="GI37" s="16" t="s">
        <v>30</v>
      </c>
      <c r="GJ37" s="18">
        <v>40609</v>
      </c>
      <c r="GK37" s="16" t="s">
        <v>30</v>
      </c>
      <c r="GL37" s="17">
        <v>36751.4</v>
      </c>
      <c r="GM37" s="16" t="s">
        <v>30</v>
      </c>
      <c r="GN37" s="17">
        <v>39191.699999999997</v>
      </c>
      <c r="GO37" s="16" t="s">
        <v>30</v>
      </c>
      <c r="GP37" s="18">
        <v>38686</v>
      </c>
      <c r="GQ37" s="16" t="s">
        <v>30</v>
      </c>
      <c r="GR37" s="17">
        <v>41922.199999999997</v>
      </c>
      <c r="GS37" s="16" t="s">
        <v>30</v>
      </c>
      <c r="GT37" s="17">
        <v>39191.699999999997</v>
      </c>
      <c r="GU37" s="16" t="s">
        <v>30</v>
      </c>
      <c r="GV37" s="17">
        <v>41465.300000000003</v>
      </c>
      <c r="GW37" s="16" t="s">
        <v>30</v>
      </c>
      <c r="GX37" s="17">
        <v>41355.9</v>
      </c>
      <c r="GY37" s="16" t="s">
        <v>30</v>
      </c>
      <c r="GZ37" s="17">
        <v>44613.3</v>
      </c>
      <c r="HA37" s="16" t="s">
        <v>30</v>
      </c>
      <c r="HB37" s="17">
        <v>40936.199999999997</v>
      </c>
      <c r="HC37" s="16" t="s">
        <v>30</v>
      </c>
      <c r="HD37" s="17">
        <v>43027.1</v>
      </c>
      <c r="HE37" s="16" t="s">
        <v>30</v>
      </c>
      <c r="HF37" s="17">
        <v>42406.6</v>
      </c>
      <c r="HG37" s="16" t="s">
        <v>30</v>
      </c>
      <c r="HH37" s="17">
        <v>44888.5</v>
      </c>
      <c r="HI37" s="16" t="s">
        <v>30</v>
      </c>
      <c r="HJ37" s="17">
        <v>41065.9</v>
      </c>
      <c r="HK37" s="16" t="s">
        <v>30</v>
      </c>
      <c r="HL37" s="17">
        <v>43923.8</v>
      </c>
      <c r="HM37" s="16" t="s">
        <v>30</v>
      </c>
      <c r="HN37" s="17">
        <v>42860.3</v>
      </c>
      <c r="HO37" s="16" t="s">
        <v>30</v>
      </c>
      <c r="HP37" s="17">
        <v>45659.8</v>
      </c>
      <c r="HQ37" s="16" t="s">
        <v>30</v>
      </c>
      <c r="HR37" s="17">
        <v>41427.1</v>
      </c>
      <c r="HS37" s="16" t="s">
        <v>30</v>
      </c>
      <c r="HT37" s="17">
        <v>44091.6</v>
      </c>
      <c r="HU37" s="16" t="s">
        <v>30</v>
      </c>
      <c r="HV37" s="17">
        <v>43750.6</v>
      </c>
      <c r="HW37" s="16" t="s">
        <v>30</v>
      </c>
      <c r="HX37" s="17">
        <v>46287.7</v>
      </c>
      <c r="HY37" s="16" t="s">
        <v>30</v>
      </c>
      <c r="HZ37" s="18">
        <v>43128</v>
      </c>
      <c r="IA37" s="16" t="s">
        <v>30</v>
      </c>
      <c r="IB37" s="18">
        <v>45596</v>
      </c>
      <c r="IC37" s="16" t="s">
        <v>30</v>
      </c>
      <c r="ID37" s="17">
        <v>44873.599999999999</v>
      </c>
      <c r="IE37" s="16" t="s">
        <v>30</v>
      </c>
      <c r="IF37" s="17">
        <v>48767.4</v>
      </c>
      <c r="IG37" s="16" t="s">
        <v>30</v>
      </c>
      <c r="IH37" s="17">
        <v>44908.6</v>
      </c>
      <c r="II37" s="16" t="s">
        <v>30</v>
      </c>
      <c r="IJ37" s="18">
        <v>46923</v>
      </c>
      <c r="IK37" s="16" t="s">
        <v>30</v>
      </c>
      <c r="IL37" s="17">
        <v>46304.7</v>
      </c>
      <c r="IM37" s="16" t="s">
        <v>30</v>
      </c>
      <c r="IN37" s="17">
        <v>48934.2</v>
      </c>
      <c r="IO37" s="16" t="s">
        <v>30</v>
      </c>
      <c r="IP37" s="17">
        <v>46670.1</v>
      </c>
      <c r="IQ37" s="16" t="s">
        <v>30</v>
      </c>
      <c r="IR37" s="17">
        <v>48601.599999999999</v>
      </c>
      <c r="IS37" s="16" t="s">
        <v>30</v>
      </c>
      <c r="IT37" s="17">
        <v>47851.6</v>
      </c>
      <c r="IU37" s="16" t="s">
        <v>30</v>
      </c>
      <c r="IV37" s="17">
        <v>51035.6</v>
      </c>
      <c r="IW37" s="16" t="s">
        <v>30</v>
      </c>
      <c r="IX37" s="17">
        <v>48802.400000000001</v>
      </c>
      <c r="IY37" s="16" t="s">
        <v>30</v>
      </c>
      <c r="IZ37" s="17">
        <v>51566.9</v>
      </c>
      <c r="JA37" s="16" t="s">
        <v>30</v>
      </c>
      <c r="JB37" s="17">
        <v>50942.2</v>
      </c>
      <c r="JC37" s="16" t="s">
        <v>30</v>
      </c>
      <c r="JD37" s="17">
        <v>54534.2</v>
      </c>
      <c r="JE37" s="16" t="s">
        <v>30</v>
      </c>
      <c r="JF37" s="18">
        <v>50480</v>
      </c>
      <c r="JG37" s="16" t="s">
        <v>30</v>
      </c>
      <c r="JH37" s="17">
        <v>52697.3</v>
      </c>
      <c r="JI37" s="16" t="s">
        <v>30</v>
      </c>
      <c r="JJ37" s="17">
        <v>51448.9</v>
      </c>
      <c r="JK37" s="16" t="s">
        <v>30</v>
      </c>
      <c r="JL37" s="17">
        <v>53105.2</v>
      </c>
      <c r="JM37" s="16" t="s">
        <v>30</v>
      </c>
      <c r="JN37" s="17">
        <v>45862.7</v>
      </c>
      <c r="JO37" s="16" t="s">
        <v>30</v>
      </c>
      <c r="JP37" s="17">
        <v>47496.7</v>
      </c>
      <c r="JQ37" s="16" t="s">
        <v>30</v>
      </c>
      <c r="JR37" s="17">
        <v>47030.3</v>
      </c>
      <c r="JS37" s="16" t="s">
        <v>30</v>
      </c>
      <c r="JT37" s="17">
        <v>49426.1</v>
      </c>
      <c r="JU37" s="16" t="s">
        <v>30</v>
      </c>
      <c r="JV37" s="17">
        <v>46286.6</v>
      </c>
      <c r="JW37" s="16" t="s">
        <v>30</v>
      </c>
      <c r="JX37" s="17">
        <v>49313.5</v>
      </c>
      <c r="JY37" s="16" t="s">
        <v>30</v>
      </c>
      <c r="JZ37" s="18">
        <v>48098</v>
      </c>
      <c r="KA37" s="16" t="s">
        <v>30</v>
      </c>
      <c r="KB37" s="17">
        <v>52218.1</v>
      </c>
      <c r="KC37" s="16" t="s">
        <v>30</v>
      </c>
      <c r="KD37" s="17">
        <v>48089.5</v>
      </c>
      <c r="KE37" s="16" t="s">
        <v>30</v>
      </c>
      <c r="KF37" s="17">
        <v>50079.5</v>
      </c>
      <c r="KG37" s="16" t="s">
        <v>30</v>
      </c>
      <c r="KH37" s="17">
        <v>49166.8</v>
      </c>
      <c r="KI37" s="16" t="s">
        <v>30</v>
      </c>
      <c r="KJ37" s="17">
        <v>51968.5</v>
      </c>
      <c r="KK37" s="16" t="s">
        <v>30</v>
      </c>
      <c r="KL37" s="17">
        <v>47696.4</v>
      </c>
      <c r="KM37" s="16" t="s">
        <v>30</v>
      </c>
      <c r="KN37" s="17">
        <v>49115.8</v>
      </c>
      <c r="KO37" s="16" t="s">
        <v>30</v>
      </c>
      <c r="KP37" s="17">
        <v>47884.5</v>
      </c>
      <c r="KQ37" s="16" t="s">
        <v>30</v>
      </c>
      <c r="KR37" s="17">
        <v>50527.8</v>
      </c>
      <c r="KS37" s="16" t="s">
        <v>30</v>
      </c>
      <c r="KT37" s="17">
        <v>46087.9</v>
      </c>
      <c r="KU37" s="16" t="s">
        <v>30</v>
      </c>
      <c r="KV37" s="17">
        <v>48723.8</v>
      </c>
      <c r="KW37" s="16" t="s">
        <v>30</v>
      </c>
      <c r="KX37" s="17">
        <v>48037.5</v>
      </c>
      <c r="KY37" s="16" t="s">
        <v>30</v>
      </c>
      <c r="KZ37" s="17">
        <v>50137.9</v>
      </c>
      <c r="LA37" s="16" t="s">
        <v>30</v>
      </c>
      <c r="LB37" s="17">
        <v>45908.4</v>
      </c>
      <c r="LC37" s="16" t="s">
        <v>30</v>
      </c>
      <c r="LD37" s="17">
        <v>48360.5</v>
      </c>
      <c r="LE37" s="16" t="s">
        <v>30</v>
      </c>
      <c r="LF37" s="17">
        <v>47867.5</v>
      </c>
      <c r="LG37" s="16" t="s">
        <v>30</v>
      </c>
      <c r="LH37" s="17">
        <v>50005.1</v>
      </c>
      <c r="LI37" s="16" t="s">
        <v>30</v>
      </c>
      <c r="LJ37" s="17">
        <v>45759.7</v>
      </c>
      <c r="LK37" s="16" t="s">
        <v>30</v>
      </c>
      <c r="LL37" s="17">
        <v>48595.3</v>
      </c>
      <c r="LM37" s="16" t="s">
        <v>30</v>
      </c>
      <c r="LN37" s="17">
        <v>47889.8</v>
      </c>
      <c r="LO37" s="16" t="s">
        <v>30</v>
      </c>
      <c r="LP37" s="17">
        <v>50485.3</v>
      </c>
      <c r="LQ37" s="16" t="s">
        <v>30</v>
      </c>
      <c r="LR37" s="17">
        <v>46703.1</v>
      </c>
      <c r="LS37" s="16" t="s">
        <v>30</v>
      </c>
      <c r="LT37" s="17">
        <v>49808.5</v>
      </c>
      <c r="LU37" s="16" t="s">
        <v>30</v>
      </c>
      <c r="LV37" s="17">
        <v>49127.5</v>
      </c>
      <c r="LW37" s="16" t="s">
        <v>30</v>
      </c>
      <c r="LX37" s="17">
        <v>51580.7</v>
      </c>
      <c r="LY37" s="16" t="s">
        <v>30</v>
      </c>
      <c r="LZ37" s="17">
        <v>48623.9</v>
      </c>
      <c r="MA37" s="16" t="s">
        <v>30</v>
      </c>
      <c r="MB37" s="17">
        <v>51544.5</v>
      </c>
      <c r="MC37" s="16" t="s">
        <v>30</v>
      </c>
      <c r="MD37" s="17">
        <v>50968.7</v>
      </c>
      <c r="ME37" s="16" t="s">
        <v>30</v>
      </c>
      <c r="MF37" s="17">
        <v>53484.5</v>
      </c>
      <c r="MG37" s="16" t="s">
        <v>30</v>
      </c>
      <c r="MH37" s="17">
        <v>49707.6</v>
      </c>
      <c r="MI37" s="16" t="s">
        <v>30</v>
      </c>
      <c r="MJ37" s="17">
        <v>52167.1</v>
      </c>
      <c r="MK37" s="16" t="s">
        <v>30</v>
      </c>
      <c r="ML37" s="17">
        <v>51066.5</v>
      </c>
      <c r="MM37" s="16" t="s">
        <v>30</v>
      </c>
      <c r="MN37" s="17">
        <v>53309.2</v>
      </c>
      <c r="MO37" s="16" t="s">
        <v>30</v>
      </c>
      <c r="MP37" s="17">
        <v>50222.9</v>
      </c>
      <c r="MQ37" s="16" t="s">
        <v>30</v>
      </c>
      <c r="MR37" s="17">
        <v>52881.1</v>
      </c>
      <c r="MS37" s="16" t="s">
        <v>30</v>
      </c>
      <c r="MT37" s="17">
        <v>52177.8</v>
      </c>
      <c r="MU37" s="16" t="s">
        <v>30</v>
      </c>
      <c r="MV37" s="17">
        <v>54313.2</v>
      </c>
      <c r="MW37" s="16" t="s">
        <v>30</v>
      </c>
      <c r="MX37" s="17">
        <v>50486.400000000001</v>
      </c>
      <c r="MY37" s="16" t="s">
        <v>30</v>
      </c>
      <c r="MZ37" s="17">
        <v>49199.8</v>
      </c>
      <c r="NA37" s="16" t="s">
        <v>30</v>
      </c>
      <c r="NB37" s="17">
        <v>50759.4</v>
      </c>
      <c r="NC37" s="16" t="s">
        <v>30</v>
      </c>
      <c r="ND37" s="17">
        <v>54061.4</v>
      </c>
      <c r="NE37" s="16" t="s">
        <v>30</v>
      </c>
      <c r="NF37" s="17">
        <v>49278.400000000001</v>
      </c>
      <c r="NG37" s="16" t="s">
        <v>30</v>
      </c>
      <c r="NH37" s="17">
        <v>52711.1</v>
      </c>
      <c r="NI37" s="16" t="s">
        <v>30</v>
      </c>
      <c r="NJ37" s="17">
        <v>52533.7</v>
      </c>
      <c r="NK37" s="16" t="s">
        <v>30</v>
      </c>
      <c r="NL37" s="17">
        <v>55612.6</v>
      </c>
      <c r="NM37" s="16" t="s">
        <v>30</v>
      </c>
      <c r="NN37" s="17">
        <v>50852.9</v>
      </c>
      <c r="NO37" s="16" t="s">
        <v>30</v>
      </c>
      <c r="NP37" s="17">
        <v>53790.5</v>
      </c>
      <c r="NQ37" s="16" t="s">
        <v>30</v>
      </c>
      <c r="NR37" s="17">
        <v>52775.9</v>
      </c>
      <c r="NS37" s="16" t="s">
        <v>30</v>
      </c>
      <c r="NT37" s="17">
        <v>54976.2</v>
      </c>
      <c r="NU37" s="16" t="s">
        <v>30</v>
      </c>
      <c r="NV37" s="17">
        <v>51731.5</v>
      </c>
      <c r="NW37" s="16" t="s">
        <v>30</v>
      </c>
      <c r="NX37" s="18">
        <v>54037</v>
      </c>
      <c r="NY37" s="16" t="s">
        <v>30</v>
      </c>
      <c r="NZ37" s="17">
        <v>52016.3</v>
      </c>
      <c r="OA37" s="16" t="s">
        <v>30</v>
      </c>
      <c r="OB37" s="17">
        <v>54253.7</v>
      </c>
      <c r="OC37" s="16" t="s">
        <v>30</v>
      </c>
      <c r="OD37" s="17">
        <v>50714.8</v>
      </c>
      <c r="OE37" s="16" t="s">
        <v>30</v>
      </c>
      <c r="OF37" s="17">
        <v>53720.4</v>
      </c>
      <c r="OG37" s="16" t="s">
        <v>30</v>
      </c>
      <c r="OH37" s="17">
        <v>53099.9</v>
      </c>
      <c r="OI37" s="16" t="s">
        <v>30</v>
      </c>
      <c r="OJ37" s="17">
        <v>55230.1</v>
      </c>
      <c r="OK37" s="16" t="s">
        <v>30</v>
      </c>
      <c r="OL37" s="17">
        <v>51234.3</v>
      </c>
      <c r="OM37" s="16" t="s">
        <v>30</v>
      </c>
      <c r="ON37" s="18">
        <v>53492</v>
      </c>
      <c r="OO37" s="16" t="s">
        <v>30</v>
      </c>
      <c r="OP37" s="16" t="s">
        <v>235</v>
      </c>
      <c r="OQ37" s="16" t="s">
        <v>30</v>
      </c>
    </row>
    <row r="38" spans="1:407" x14ac:dyDescent="0.3">
      <c r="A38" s="12" t="s">
        <v>263</v>
      </c>
      <c r="B38" s="13" t="s">
        <v>235</v>
      </c>
      <c r="C38" s="13" t="s">
        <v>30</v>
      </c>
      <c r="D38" s="13" t="s">
        <v>235</v>
      </c>
      <c r="E38" s="13" t="s">
        <v>30</v>
      </c>
      <c r="F38" s="13" t="s">
        <v>235</v>
      </c>
      <c r="G38" s="13" t="s">
        <v>30</v>
      </c>
      <c r="H38" s="13" t="s">
        <v>235</v>
      </c>
      <c r="I38" s="13" t="s">
        <v>30</v>
      </c>
      <c r="J38" s="13" t="s">
        <v>235</v>
      </c>
      <c r="K38" s="13" t="s">
        <v>30</v>
      </c>
      <c r="L38" s="13" t="s">
        <v>235</v>
      </c>
      <c r="M38" s="13" t="s">
        <v>30</v>
      </c>
      <c r="N38" s="13" t="s">
        <v>235</v>
      </c>
      <c r="O38" s="13" t="s">
        <v>30</v>
      </c>
      <c r="P38" s="13" t="s">
        <v>235</v>
      </c>
      <c r="Q38" s="13" t="s">
        <v>30</v>
      </c>
      <c r="R38" s="13" t="s">
        <v>235</v>
      </c>
      <c r="S38" s="13" t="s">
        <v>30</v>
      </c>
      <c r="T38" s="13" t="s">
        <v>235</v>
      </c>
      <c r="U38" s="13" t="s">
        <v>30</v>
      </c>
      <c r="V38" s="13" t="s">
        <v>235</v>
      </c>
      <c r="W38" s="13" t="s">
        <v>30</v>
      </c>
      <c r="X38" s="13" t="s">
        <v>235</v>
      </c>
      <c r="Y38" s="13" t="s">
        <v>30</v>
      </c>
      <c r="Z38" s="13" t="s">
        <v>235</v>
      </c>
      <c r="AA38" s="13" t="s">
        <v>30</v>
      </c>
      <c r="AB38" s="13" t="s">
        <v>235</v>
      </c>
      <c r="AC38" s="13" t="s">
        <v>30</v>
      </c>
      <c r="AD38" s="13" t="s">
        <v>235</v>
      </c>
      <c r="AE38" s="13" t="s">
        <v>30</v>
      </c>
      <c r="AF38" s="13" t="s">
        <v>235</v>
      </c>
      <c r="AG38" s="13" t="s">
        <v>30</v>
      </c>
      <c r="AH38" s="13" t="s">
        <v>235</v>
      </c>
      <c r="AI38" s="13" t="s">
        <v>30</v>
      </c>
      <c r="AJ38" s="13" t="s">
        <v>235</v>
      </c>
      <c r="AK38" s="13" t="s">
        <v>30</v>
      </c>
      <c r="AL38" s="13" t="s">
        <v>235</v>
      </c>
      <c r="AM38" s="13" t="s">
        <v>30</v>
      </c>
      <c r="AN38" s="13" t="s">
        <v>235</v>
      </c>
      <c r="AO38" s="13" t="s">
        <v>30</v>
      </c>
      <c r="AP38" s="13" t="s">
        <v>235</v>
      </c>
      <c r="AQ38" s="13" t="s">
        <v>30</v>
      </c>
      <c r="AR38" s="13" t="s">
        <v>235</v>
      </c>
      <c r="AS38" s="13" t="s">
        <v>30</v>
      </c>
      <c r="AT38" s="13" t="s">
        <v>235</v>
      </c>
      <c r="AU38" s="13" t="s">
        <v>30</v>
      </c>
      <c r="AV38" s="13" t="s">
        <v>235</v>
      </c>
      <c r="AW38" s="13" t="s">
        <v>30</v>
      </c>
      <c r="AX38" s="13" t="s">
        <v>235</v>
      </c>
      <c r="AY38" s="13" t="s">
        <v>30</v>
      </c>
      <c r="AZ38" s="13" t="s">
        <v>235</v>
      </c>
      <c r="BA38" s="13" t="s">
        <v>30</v>
      </c>
      <c r="BB38" s="13" t="s">
        <v>235</v>
      </c>
      <c r="BC38" s="13" t="s">
        <v>30</v>
      </c>
      <c r="BD38" s="13" t="s">
        <v>235</v>
      </c>
      <c r="BE38" s="13" t="s">
        <v>30</v>
      </c>
      <c r="BF38" s="13" t="s">
        <v>235</v>
      </c>
      <c r="BG38" s="13" t="s">
        <v>30</v>
      </c>
      <c r="BH38" s="13" t="s">
        <v>235</v>
      </c>
      <c r="BI38" s="13" t="s">
        <v>30</v>
      </c>
      <c r="BJ38" s="13" t="s">
        <v>235</v>
      </c>
      <c r="BK38" s="13" t="s">
        <v>30</v>
      </c>
      <c r="BL38" s="13" t="s">
        <v>235</v>
      </c>
      <c r="BM38" s="13" t="s">
        <v>30</v>
      </c>
      <c r="BN38" s="13" t="s">
        <v>235</v>
      </c>
      <c r="BO38" s="13" t="s">
        <v>30</v>
      </c>
      <c r="BP38" s="13" t="s">
        <v>235</v>
      </c>
      <c r="BQ38" s="13" t="s">
        <v>30</v>
      </c>
      <c r="BR38" s="13" t="s">
        <v>235</v>
      </c>
      <c r="BS38" s="13" t="s">
        <v>30</v>
      </c>
      <c r="BT38" s="13" t="s">
        <v>235</v>
      </c>
      <c r="BU38" s="13" t="s">
        <v>30</v>
      </c>
      <c r="BV38" s="13" t="s">
        <v>235</v>
      </c>
      <c r="BW38" s="13" t="s">
        <v>30</v>
      </c>
      <c r="BX38" s="13" t="s">
        <v>235</v>
      </c>
      <c r="BY38" s="13" t="s">
        <v>30</v>
      </c>
      <c r="BZ38" s="13" t="s">
        <v>235</v>
      </c>
      <c r="CA38" s="13" t="s">
        <v>30</v>
      </c>
      <c r="CB38" s="13" t="s">
        <v>235</v>
      </c>
      <c r="CC38" s="13" t="s">
        <v>30</v>
      </c>
      <c r="CD38" s="13" t="s">
        <v>235</v>
      </c>
      <c r="CE38" s="13" t="s">
        <v>30</v>
      </c>
      <c r="CF38" s="13" t="s">
        <v>235</v>
      </c>
      <c r="CG38" s="13" t="s">
        <v>30</v>
      </c>
      <c r="CH38" s="13" t="s">
        <v>235</v>
      </c>
      <c r="CI38" s="13" t="s">
        <v>30</v>
      </c>
      <c r="CJ38" s="13" t="s">
        <v>235</v>
      </c>
      <c r="CK38" s="13" t="s">
        <v>30</v>
      </c>
      <c r="CL38" s="13" t="s">
        <v>235</v>
      </c>
      <c r="CM38" s="13" t="s">
        <v>30</v>
      </c>
      <c r="CN38" s="13" t="s">
        <v>235</v>
      </c>
      <c r="CO38" s="13" t="s">
        <v>30</v>
      </c>
      <c r="CP38" s="13" t="s">
        <v>235</v>
      </c>
      <c r="CQ38" s="13" t="s">
        <v>30</v>
      </c>
      <c r="CR38" s="13" t="s">
        <v>235</v>
      </c>
      <c r="CS38" s="13" t="s">
        <v>30</v>
      </c>
      <c r="CT38" s="13" t="s">
        <v>235</v>
      </c>
      <c r="CU38" s="13" t="s">
        <v>30</v>
      </c>
      <c r="CV38" s="13" t="s">
        <v>235</v>
      </c>
      <c r="CW38" s="13" t="s">
        <v>30</v>
      </c>
      <c r="CX38" s="13" t="s">
        <v>235</v>
      </c>
      <c r="CY38" s="13" t="s">
        <v>30</v>
      </c>
      <c r="CZ38" s="13" t="s">
        <v>235</v>
      </c>
      <c r="DA38" s="13" t="s">
        <v>30</v>
      </c>
      <c r="DB38" s="13" t="s">
        <v>235</v>
      </c>
      <c r="DC38" s="13" t="s">
        <v>30</v>
      </c>
      <c r="DD38" s="13" t="s">
        <v>235</v>
      </c>
      <c r="DE38" s="13" t="s">
        <v>30</v>
      </c>
      <c r="DF38" s="13" t="s">
        <v>235</v>
      </c>
      <c r="DG38" s="13" t="s">
        <v>30</v>
      </c>
      <c r="DH38" s="13" t="s">
        <v>235</v>
      </c>
      <c r="DI38" s="13" t="s">
        <v>30</v>
      </c>
      <c r="DJ38" s="13" t="s">
        <v>235</v>
      </c>
      <c r="DK38" s="13" t="s">
        <v>30</v>
      </c>
      <c r="DL38" s="13" t="s">
        <v>235</v>
      </c>
      <c r="DM38" s="13" t="s">
        <v>30</v>
      </c>
      <c r="DN38" s="13" t="s">
        <v>235</v>
      </c>
      <c r="DO38" s="13" t="s">
        <v>30</v>
      </c>
      <c r="DP38" s="13" t="s">
        <v>235</v>
      </c>
      <c r="DQ38" s="13" t="s">
        <v>30</v>
      </c>
      <c r="DR38" s="13" t="s">
        <v>235</v>
      </c>
      <c r="DS38" s="13" t="s">
        <v>30</v>
      </c>
      <c r="DT38" s="13" t="s">
        <v>235</v>
      </c>
      <c r="DU38" s="13" t="s">
        <v>30</v>
      </c>
      <c r="DV38" s="13" t="s">
        <v>235</v>
      </c>
      <c r="DW38" s="13" t="s">
        <v>30</v>
      </c>
      <c r="DX38" s="13" t="s">
        <v>235</v>
      </c>
      <c r="DY38" s="13" t="s">
        <v>30</v>
      </c>
      <c r="DZ38" s="13" t="s">
        <v>235</v>
      </c>
      <c r="EA38" s="13" t="s">
        <v>30</v>
      </c>
      <c r="EB38" s="13" t="s">
        <v>235</v>
      </c>
      <c r="EC38" s="13" t="s">
        <v>30</v>
      </c>
      <c r="ED38" s="13" t="s">
        <v>235</v>
      </c>
      <c r="EE38" s="13" t="s">
        <v>30</v>
      </c>
      <c r="EF38" s="13" t="s">
        <v>235</v>
      </c>
      <c r="EG38" s="13" t="s">
        <v>30</v>
      </c>
      <c r="EH38" s="13" t="s">
        <v>235</v>
      </c>
      <c r="EI38" s="13" t="s">
        <v>30</v>
      </c>
      <c r="EJ38" s="13" t="s">
        <v>235</v>
      </c>
      <c r="EK38" s="13" t="s">
        <v>30</v>
      </c>
      <c r="EL38" s="13" t="s">
        <v>235</v>
      </c>
      <c r="EM38" s="13" t="s">
        <v>30</v>
      </c>
      <c r="EN38" s="13" t="s">
        <v>235</v>
      </c>
      <c r="EO38" s="13" t="s">
        <v>30</v>
      </c>
      <c r="EP38" s="14">
        <v>571743.5</v>
      </c>
      <c r="EQ38" s="13" t="s">
        <v>30</v>
      </c>
      <c r="ER38" s="14">
        <v>588775.1</v>
      </c>
      <c r="ES38" s="13" t="s">
        <v>30</v>
      </c>
      <c r="ET38" s="14">
        <v>538497.5</v>
      </c>
      <c r="EU38" s="13" t="s">
        <v>30</v>
      </c>
      <c r="EV38" s="14">
        <v>624759.6</v>
      </c>
      <c r="EW38" s="13" t="s">
        <v>30</v>
      </c>
      <c r="EX38" s="14">
        <v>593476.9</v>
      </c>
      <c r="EY38" s="13" t="s">
        <v>30</v>
      </c>
      <c r="EZ38" s="14">
        <v>611461.19999999995</v>
      </c>
      <c r="FA38" s="13" t="s">
        <v>30</v>
      </c>
      <c r="FB38" s="14">
        <v>555491.19999999995</v>
      </c>
      <c r="FC38" s="13" t="s">
        <v>30</v>
      </c>
      <c r="FD38" s="15">
        <v>663002</v>
      </c>
      <c r="FE38" s="13" t="s">
        <v>30</v>
      </c>
      <c r="FF38" s="15">
        <v>635370</v>
      </c>
      <c r="FG38" s="13" t="s">
        <v>30</v>
      </c>
      <c r="FH38" s="14">
        <v>641775.19999999995</v>
      </c>
      <c r="FI38" s="13" t="s">
        <v>30</v>
      </c>
      <c r="FJ38" s="14">
        <v>577886.1</v>
      </c>
      <c r="FK38" s="13" t="s">
        <v>30</v>
      </c>
      <c r="FL38" s="14">
        <v>686032.3</v>
      </c>
      <c r="FM38" s="13" t="s">
        <v>30</v>
      </c>
      <c r="FN38" s="14">
        <v>651094.69999999995</v>
      </c>
      <c r="FO38" s="13" t="s">
        <v>30</v>
      </c>
      <c r="FP38" s="14">
        <v>649927.4</v>
      </c>
      <c r="FQ38" s="13" t="s">
        <v>30</v>
      </c>
      <c r="FR38" s="14">
        <v>593550.1</v>
      </c>
      <c r="FS38" s="13" t="s">
        <v>30</v>
      </c>
      <c r="FT38" s="14">
        <v>694983.2</v>
      </c>
      <c r="FU38" s="13" t="s">
        <v>30</v>
      </c>
      <c r="FV38" s="14">
        <v>641099.4</v>
      </c>
      <c r="FW38" s="13" t="s">
        <v>30</v>
      </c>
      <c r="FX38" s="15">
        <v>685173</v>
      </c>
      <c r="FY38" s="13" t="s">
        <v>30</v>
      </c>
      <c r="FZ38" s="15">
        <v>620216</v>
      </c>
      <c r="GA38" s="13" t="s">
        <v>30</v>
      </c>
      <c r="GB38" s="14">
        <v>727197.4</v>
      </c>
      <c r="GC38" s="13" t="s">
        <v>30</v>
      </c>
      <c r="GD38" s="14">
        <v>675557.3</v>
      </c>
      <c r="GE38" s="13" t="s">
        <v>30</v>
      </c>
      <c r="GF38" s="14">
        <v>704197.5</v>
      </c>
      <c r="GG38" s="13" t="s">
        <v>30</v>
      </c>
      <c r="GH38" s="14">
        <v>647625.80000000005</v>
      </c>
      <c r="GI38" s="13" t="s">
        <v>30</v>
      </c>
      <c r="GJ38" s="15">
        <v>760292</v>
      </c>
      <c r="GK38" s="13" t="s">
        <v>30</v>
      </c>
      <c r="GL38" s="14">
        <v>705203.1</v>
      </c>
      <c r="GM38" s="13" t="s">
        <v>30</v>
      </c>
      <c r="GN38" s="14">
        <v>734034.3</v>
      </c>
      <c r="GO38" s="13" t="s">
        <v>30</v>
      </c>
      <c r="GP38" s="14">
        <v>674733.4</v>
      </c>
      <c r="GQ38" s="13" t="s">
        <v>30</v>
      </c>
      <c r="GR38" s="14">
        <v>792823.5</v>
      </c>
      <c r="GS38" s="13" t="s">
        <v>30</v>
      </c>
      <c r="GT38" s="14">
        <v>737282.8</v>
      </c>
      <c r="GU38" s="13" t="s">
        <v>30</v>
      </c>
      <c r="GV38" s="14">
        <v>777238.6</v>
      </c>
      <c r="GW38" s="13" t="s">
        <v>30</v>
      </c>
      <c r="GX38" s="14">
        <v>712739.3</v>
      </c>
      <c r="GY38" s="13" t="s">
        <v>30</v>
      </c>
      <c r="GZ38" s="14">
        <v>833709.3</v>
      </c>
      <c r="HA38" s="13" t="s">
        <v>30</v>
      </c>
      <c r="HB38" s="14">
        <v>766204.8</v>
      </c>
      <c r="HC38" s="13" t="s">
        <v>30</v>
      </c>
      <c r="HD38" s="15">
        <v>787265</v>
      </c>
      <c r="HE38" s="13" t="s">
        <v>30</v>
      </c>
      <c r="HF38" s="14">
        <v>719361.6</v>
      </c>
      <c r="HG38" s="13" t="s">
        <v>30</v>
      </c>
      <c r="HH38" s="15">
        <v>828808</v>
      </c>
      <c r="HI38" s="13" t="s">
        <v>30</v>
      </c>
      <c r="HJ38" s="14">
        <v>776254.8</v>
      </c>
      <c r="HK38" s="13" t="s">
        <v>30</v>
      </c>
      <c r="HL38" s="14">
        <v>820031.4</v>
      </c>
      <c r="HM38" s="13" t="s">
        <v>30</v>
      </c>
      <c r="HN38" s="14">
        <v>734707.6</v>
      </c>
      <c r="HO38" s="13" t="s">
        <v>30</v>
      </c>
      <c r="HP38" s="14">
        <v>839605.3</v>
      </c>
      <c r="HQ38" s="13" t="s">
        <v>30</v>
      </c>
      <c r="HR38" s="14">
        <v>793029.7</v>
      </c>
      <c r="HS38" s="13" t="s">
        <v>30</v>
      </c>
      <c r="HT38" s="14">
        <v>823501.1</v>
      </c>
      <c r="HU38" s="13" t="s">
        <v>30</v>
      </c>
      <c r="HV38" s="14">
        <v>752250.8</v>
      </c>
      <c r="HW38" s="13" t="s">
        <v>30</v>
      </c>
      <c r="HX38" s="14">
        <v>863190.2</v>
      </c>
      <c r="HY38" s="13" t="s">
        <v>30</v>
      </c>
      <c r="HZ38" s="14">
        <v>819465.8</v>
      </c>
      <c r="IA38" s="13" t="s">
        <v>30</v>
      </c>
      <c r="IB38" s="14">
        <v>863134.6</v>
      </c>
      <c r="IC38" s="13" t="s">
        <v>30</v>
      </c>
      <c r="ID38" s="14">
        <v>785163.6</v>
      </c>
      <c r="IE38" s="13" t="s">
        <v>30</v>
      </c>
      <c r="IF38" s="14">
        <v>909897.9</v>
      </c>
      <c r="IG38" s="13" t="s">
        <v>30</v>
      </c>
      <c r="IH38" s="15">
        <v>828697</v>
      </c>
      <c r="II38" s="13" t="s">
        <v>30</v>
      </c>
      <c r="IJ38" s="14">
        <v>895323.7</v>
      </c>
      <c r="IK38" s="13" t="s">
        <v>30</v>
      </c>
      <c r="IL38" s="14">
        <v>808592.8</v>
      </c>
      <c r="IM38" s="13" t="s">
        <v>30</v>
      </c>
      <c r="IN38" s="14">
        <v>933923.8</v>
      </c>
      <c r="IO38" s="13" t="s">
        <v>30</v>
      </c>
      <c r="IP38" s="14">
        <v>885971.4</v>
      </c>
      <c r="IQ38" s="13" t="s">
        <v>30</v>
      </c>
      <c r="IR38" s="14">
        <v>926369.9</v>
      </c>
      <c r="IS38" s="13" t="s">
        <v>30</v>
      </c>
      <c r="IT38" s="14">
        <v>841869.1</v>
      </c>
      <c r="IU38" s="13" t="s">
        <v>30</v>
      </c>
      <c r="IV38" s="14">
        <v>981667.4</v>
      </c>
      <c r="IW38" s="13" t="s">
        <v>30</v>
      </c>
      <c r="IX38" s="15">
        <v>920420</v>
      </c>
      <c r="IY38" s="13" t="s">
        <v>30</v>
      </c>
      <c r="IZ38" s="14">
        <v>960869.8</v>
      </c>
      <c r="JA38" s="13" t="s">
        <v>30</v>
      </c>
      <c r="JB38" s="14">
        <v>867545.3</v>
      </c>
      <c r="JC38" s="13" t="s">
        <v>30</v>
      </c>
      <c r="JD38" s="14">
        <v>1003776.2</v>
      </c>
      <c r="JE38" s="13" t="s">
        <v>30</v>
      </c>
      <c r="JF38" s="14">
        <v>929238.8</v>
      </c>
      <c r="JG38" s="13" t="s">
        <v>30</v>
      </c>
      <c r="JH38" s="14">
        <v>976691.3</v>
      </c>
      <c r="JI38" s="13" t="s">
        <v>30</v>
      </c>
      <c r="JJ38" s="15">
        <v>865066</v>
      </c>
      <c r="JK38" s="13" t="s">
        <v>30</v>
      </c>
      <c r="JL38" s="14">
        <v>945664.4</v>
      </c>
      <c r="JM38" s="13" t="s">
        <v>30</v>
      </c>
      <c r="JN38" s="15">
        <v>866219</v>
      </c>
      <c r="JO38" s="13" t="s">
        <v>30</v>
      </c>
      <c r="JP38" s="14">
        <v>910875.8</v>
      </c>
      <c r="JQ38" s="13" t="s">
        <v>30</v>
      </c>
      <c r="JR38" s="14">
        <v>825017.6</v>
      </c>
      <c r="JS38" s="13" t="s">
        <v>30</v>
      </c>
      <c r="JT38" s="14">
        <v>944620.1</v>
      </c>
      <c r="JU38" s="13" t="s">
        <v>30</v>
      </c>
      <c r="JV38" s="14">
        <v>885086.9</v>
      </c>
      <c r="JW38" s="13" t="s">
        <v>30</v>
      </c>
      <c r="JX38" s="14">
        <v>964380.8</v>
      </c>
      <c r="JY38" s="13" t="s">
        <v>30</v>
      </c>
      <c r="JZ38" s="14">
        <v>886318.9</v>
      </c>
      <c r="KA38" s="13" t="s">
        <v>30</v>
      </c>
      <c r="KB38" s="14">
        <v>1020798.5</v>
      </c>
      <c r="KC38" s="13" t="s">
        <v>30</v>
      </c>
      <c r="KD38" s="14">
        <v>953846.1</v>
      </c>
      <c r="KE38" s="13" t="s">
        <v>30</v>
      </c>
      <c r="KF38" s="14">
        <v>1005557.8</v>
      </c>
      <c r="KG38" s="13" t="s">
        <v>30</v>
      </c>
      <c r="KH38" s="14">
        <v>919041.5</v>
      </c>
      <c r="KI38" s="13" t="s">
        <v>30</v>
      </c>
      <c r="KJ38" s="14">
        <v>1014924.4</v>
      </c>
      <c r="KK38" s="13" t="s">
        <v>30</v>
      </c>
      <c r="KL38" s="14">
        <v>955112.7</v>
      </c>
      <c r="KM38" s="13" t="s">
        <v>30</v>
      </c>
      <c r="KN38" s="14">
        <v>1000555.5</v>
      </c>
      <c r="KO38" s="13" t="s">
        <v>30</v>
      </c>
      <c r="KP38" s="14">
        <v>907744.3</v>
      </c>
      <c r="KQ38" s="13" t="s">
        <v>30</v>
      </c>
      <c r="KR38" s="14">
        <v>1014447.3</v>
      </c>
      <c r="KS38" s="13" t="s">
        <v>30</v>
      </c>
      <c r="KT38" s="14">
        <v>951064.8</v>
      </c>
      <c r="KU38" s="13" t="s">
        <v>30</v>
      </c>
      <c r="KV38" s="14">
        <v>1006052.6</v>
      </c>
      <c r="KW38" s="13" t="s">
        <v>30</v>
      </c>
      <c r="KX38" s="14">
        <v>917838.9</v>
      </c>
      <c r="KY38" s="13" t="s">
        <v>30</v>
      </c>
      <c r="KZ38" s="14">
        <v>1045660.9</v>
      </c>
      <c r="LA38" s="13" t="s">
        <v>30</v>
      </c>
      <c r="LB38" s="14">
        <v>976103.9</v>
      </c>
      <c r="LC38" s="13" t="s">
        <v>30</v>
      </c>
      <c r="LD38" s="14">
        <v>1027969.5</v>
      </c>
      <c r="LE38" s="13" t="s">
        <v>30</v>
      </c>
      <c r="LF38" s="14">
        <v>938597.8</v>
      </c>
      <c r="LG38" s="13" t="s">
        <v>30</v>
      </c>
      <c r="LH38" s="14">
        <v>1069977.8999999999</v>
      </c>
      <c r="LI38" s="13" t="s">
        <v>30</v>
      </c>
      <c r="LJ38" s="14">
        <v>1003298.2</v>
      </c>
      <c r="LK38" s="13" t="s">
        <v>30</v>
      </c>
      <c r="LL38" s="14">
        <v>1084239.1000000001</v>
      </c>
      <c r="LM38" s="13" t="s">
        <v>30</v>
      </c>
      <c r="LN38" s="14">
        <v>975012.3</v>
      </c>
      <c r="LO38" s="13" t="s">
        <v>30</v>
      </c>
      <c r="LP38" s="14">
        <v>1121854.6000000001</v>
      </c>
      <c r="LQ38" s="13" t="s">
        <v>30</v>
      </c>
      <c r="LR38" s="14">
        <v>1022299.9</v>
      </c>
      <c r="LS38" s="13" t="s">
        <v>30</v>
      </c>
      <c r="LT38" s="14">
        <v>1106049.1000000001</v>
      </c>
      <c r="LU38" s="13" t="s">
        <v>30</v>
      </c>
      <c r="LV38" s="14">
        <v>989610.1</v>
      </c>
      <c r="LW38" s="13" t="s">
        <v>30</v>
      </c>
      <c r="LX38" s="14">
        <v>1140312.6000000001</v>
      </c>
      <c r="LY38" s="13" t="s">
        <v>30</v>
      </c>
      <c r="LZ38" s="14">
        <v>1070067.1000000001</v>
      </c>
      <c r="MA38" s="13" t="s">
        <v>30</v>
      </c>
      <c r="MB38" s="14">
        <v>1109085.5</v>
      </c>
      <c r="MC38" s="13" t="s">
        <v>30</v>
      </c>
      <c r="MD38" s="14">
        <v>1005882.6</v>
      </c>
      <c r="ME38" s="13" t="s">
        <v>30</v>
      </c>
      <c r="MF38" s="14">
        <v>1158897.7</v>
      </c>
      <c r="MG38" s="13" t="s">
        <v>30</v>
      </c>
      <c r="MH38" s="14">
        <v>1081663.1000000001</v>
      </c>
      <c r="MI38" s="13" t="s">
        <v>30</v>
      </c>
      <c r="MJ38" s="14">
        <v>1135814.3999999999</v>
      </c>
      <c r="MK38" s="13" t="s">
        <v>30</v>
      </c>
      <c r="ML38" s="14">
        <v>1020955.1</v>
      </c>
      <c r="MM38" s="13" t="s">
        <v>30</v>
      </c>
      <c r="MN38" s="14">
        <v>1184713.6000000001</v>
      </c>
      <c r="MO38" s="13" t="s">
        <v>30</v>
      </c>
      <c r="MP38" s="14">
        <v>1106983.3</v>
      </c>
      <c r="MQ38" s="13" t="s">
        <v>30</v>
      </c>
      <c r="MR38" s="14">
        <v>1165564.6000000001</v>
      </c>
      <c r="MS38" s="13" t="s">
        <v>30</v>
      </c>
      <c r="MT38" s="14">
        <v>1054643.8</v>
      </c>
      <c r="MU38" s="13" t="s">
        <v>30</v>
      </c>
      <c r="MV38" s="14">
        <v>1220306.8</v>
      </c>
      <c r="MW38" s="13" t="s">
        <v>30</v>
      </c>
      <c r="MX38" s="14">
        <v>1138144.7</v>
      </c>
      <c r="MY38" s="13" t="s">
        <v>30</v>
      </c>
      <c r="MZ38" s="14">
        <v>1074139.5</v>
      </c>
      <c r="NA38" s="13" t="s">
        <v>30</v>
      </c>
      <c r="NB38" s="14">
        <v>1032202.6</v>
      </c>
      <c r="NC38" s="13" t="s">
        <v>30</v>
      </c>
      <c r="ND38" s="14">
        <v>1200024.2</v>
      </c>
      <c r="NE38" s="13" t="s">
        <v>30</v>
      </c>
      <c r="NF38" s="14">
        <v>1140649.2</v>
      </c>
      <c r="NG38" s="13" t="s">
        <v>30</v>
      </c>
      <c r="NH38" s="14">
        <v>1201376.6000000001</v>
      </c>
      <c r="NI38" s="13" t="s">
        <v>30</v>
      </c>
      <c r="NJ38" s="14">
        <v>1076475.7</v>
      </c>
      <c r="NK38" s="13" t="s">
        <v>30</v>
      </c>
      <c r="NL38" s="14">
        <v>1264458.6000000001</v>
      </c>
      <c r="NM38" s="13" t="s">
        <v>30</v>
      </c>
      <c r="NN38" s="14">
        <v>1173794.3</v>
      </c>
      <c r="NO38" s="13" t="s">
        <v>30</v>
      </c>
      <c r="NP38" s="14">
        <v>1217953.7</v>
      </c>
      <c r="NQ38" s="13" t="s">
        <v>30</v>
      </c>
      <c r="NR38" s="14">
        <v>1102858.7</v>
      </c>
      <c r="NS38" s="13" t="s">
        <v>30</v>
      </c>
      <c r="NT38" s="14">
        <v>1256082.5</v>
      </c>
      <c r="NU38" s="13" t="s">
        <v>30</v>
      </c>
      <c r="NV38" s="14">
        <v>1196662.1000000001</v>
      </c>
      <c r="NW38" s="13" t="s">
        <v>30</v>
      </c>
      <c r="NX38" s="14">
        <v>1202206.3999999999</v>
      </c>
      <c r="NY38" s="13" t="s">
        <v>30</v>
      </c>
      <c r="NZ38" s="14">
        <v>1106612.1000000001</v>
      </c>
      <c r="OA38" s="13" t="s">
        <v>30</v>
      </c>
      <c r="OB38" s="14">
        <v>1260632.8999999999</v>
      </c>
      <c r="OC38" s="13" t="s">
        <v>30</v>
      </c>
      <c r="OD38" s="14">
        <v>1188366.8</v>
      </c>
      <c r="OE38" s="13" t="s">
        <v>30</v>
      </c>
      <c r="OF38" s="14">
        <v>1214833.2</v>
      </c>
      <c r="OG38" s="13" t="s">
        <v>30</v>
      </c>
      <c r="OH38" s="14">
        <v>1124075.3999999999</v>
      </c>
      <c r="OI38" s="13" t="s">
        <v>30</v>
      </c>
      <c r="OJ38" s="14">
        <v>1280003.2</v>
      </c>
      <c r="OK38" s="13" t="s">
        <v>30</v>
      </c>
      <c r="OL38" s="14">
        <v>1188549.3999999999</v>
      </c>
      <c r="OM38" s="13" t="s">
        <v>30</v>
      </c>
      <c r="ON38" s="14">
        <v>1223722.7</v>
      </c>
      <c r="OO38" s="13" t="s">
        <v>30</v>
      </c>
      <c r="OP38" s="13" t="s">
        <v>235</v>
      </c>
      <c r="OQ38" s="13" t="s">
        <v>30</v>
      </c>
    </row>
    <row r="39" spans="1:407" x14ac:dyDescent="0.3">
      <c r="A39" s="12" t="s">
        <v>264</v>
      </c>
      <c r="B39" s="16" t="s">
        <v>235</v>
      </c>
      <c r="C39" s="16" t="s">
        <v>30</v>
      </c>
      <c r="D39" s="16" t="s">
        <v>235</v>
      </c>
      <c r="E39" s="16" t="s">
        <v>30</v>
      </c>
      <c r="F39" s="16" t="s">
        <v>235</v>
      </c>
      <c r="G39" s="16" t="s">
        <v>30</v>
      </c>
      <c r="H39" s="16" t="s">
        <v>235</v>
      </c>
      <c r="I39" s="16" t="s">
        <v>30</v>
      </c>
      <c r="J39" s="16" t="s">
        <v>235</v>
      </c>
      <c r="K39" s="16" t="s">
        <v>30</v>
      </c>
      <c r="L39" s="16" t="s">
        <v>235</v>
      </c>
      <c r="M39" s="16" t="s">
        <v>30</v>
      </c>
      <c r="N39" s="16" t="s">
        <v>235</v>
      </c>
      <c r="O39" s="16" t="s">
        <v>30</v>
      </c>
      <c r="P39" s="16" t="s">
        <v>235</v>
      </c>
      <c r="Q39" s="16" t="s">
        <v>30</v>
      </c>
      <c r="R39" s="16" t="s">
        <v>235</v>
      </c>
      <c r="S39" s="16" t="s">
        <v>30</v>
      </c>
      <c r="T39" s="16" t="s">
        <v>235</v>
      </c>
      <c r="U39" s="16" t="s">
        <v>30</v>
      </c>
      <c r="V39" s="16" t="s">
        <v>235</v>
      </c>
      <c r="W39" s="16" t="s">
        <v>30</v>
      </c>
      <c r="X39" s="16" t="s">
        <v>235</v>
      </c>
      <c r="Y39" s="16" t="s">
        <v>30</v>
      </c>
      <c r="Z39" s="16" t="s">
        <v>235</v>
      </c>
      <c r="AA39" s="16" t="s">
        <v>30</v>
      </c>
      <c r="AB39" s="16" t="s">
        <v>235</v>
      </c>
      <c r="AC39" s="16" t="s">
        <v>30</v>
      </c>
      <c r="AD39" s="16" t="s">
        <v>235</v>
      </c>
      <c r="AE39" s="16" t="s">
        <v>30</v>
      </c>
      <c r="AF39" s="16" t="s">
        <v>235</v>
      </c>
      <c r="AG39" s="16" t="s">
        <v>30</v>
      </c>
      <c r="AH39" s="16" t="s">
        <v>235</v>
      </c>
      <c r="AI39" s="16" t="s">
        <v>30</v>
      </c>
      <c r="AJ39" s="16" t="s">
        <v>235</v>
      </c>
      <c r="AK39" s="16" t="s">
        <v>30</v>
      </c>
      <c r="AL39" s="16" t="s">
        <v>235</v>
      </c>
      <c r="AM39" s="16" t="s">
        <v>30</v>
      </c>
      <c r="AN39" s="16" t="s">
        <v>235</v>
      </c>
      <c r="AO39" s="16" t="s">
        <v>30</v>
      </c>
      <c r="AP39" s="16" t="s">
        <v>235</v>
      </c>
      <c r="AQ39" s="16" t="s">
        <v>30</v>
      </c>
      <c r="AR39" s="16" t="s">
        <v>235</v>
      </c>
      <c r="AS39" s="16" t="s">
        <v>30</v>
      </c>
      <c r="AT39" s="16" t="s">
        <v>235</v>
      </c>
      <c r="AU39" s="16" t="s">
        <v>30</v>
      </c>
      <c r="AV39" s="16" t="s">
        <v>235</v>
      </c>
      <c r="AW39" s="16" t="s">
        <v>30</v>
      </c>
      <c r="AX39" s="16" t="s">
        <v>235</v>
      </c>
      <c r="AY39" s="16" t="s">
        <v>30</v>
      </c>
      <c r="AZ39" s="16" t="s">
        <v>235</v>
      </c>
      <c r="BA39" s="16" t="s">
        <v>30</v>
      </c>
      <c r="BB39" s="16" t="s">
        <v>235</v>
      </c>
      <c r="BC39" s="16" t="s">
        <v>30</v>
      </c>
      <c r="BD39" s="16" t="s">
        <v>235</v>
      </c>
      <c r="BE39" s="16" t="s">
        <v>30</v>
      </c>
      <c r="BF39" s="16" t="s">
        <v>235</v>
      </c>
      <c r="BG39" s="16" t="s">
        <v>30</v>
      </c>
      <c r="BH39" s="16" t="s">
        <v>235</v>
      </c>
      <c r="BI39" s="16" t="s">
        <v>30</v>
      </c>
      <c r="BJ39" s="16" t="s">
        <v>235</v>
      </c>
      <c r="BK39" s="16" t="s">
        <v>30</v>
      </c>
      <c r="BL39" s="16" t="s">
        <v>235</v>
      </c>
      <c r="BM39" s="16" t="s">
        <v>30</v>
      </c>
      <c r="BN39" s="16" t="s">
        <v>235</v>
      </c>
      <c r="BO39" s="16" t="s">
        <v>30</v>
      </c>
      <c r="BP39" s="16" t="s">
        <v>235</v>
      </c>
      <c r="BQ39" s="16" t="s">
        <v>30</v>
      </c>
      <c r="BR39" s="16" t="s">
        <v>235</v>
      </c>
      <c r="BS39" s="16" t="s">
        <v>30</v>
      </c>
      <c r="BT39" s="16" t="s">
        <v>235</v>
      </c>
      <c r="BU39" s="16" t="s">
        <v>30</v>
      </c>
      <c r="BV39" s="16" t="s">
        <v>235</v>
      </c>
      <c r="BW39" s="16" t="s">
        <v>30</v>
      </c>
      <c r="BX39" s="16" t="s">
        <v>235</v>
      </c>
      <c r="BY39" s="16" t="s">
        <v>30</v>
      </c>
      <c r="BZ39" s="16" t="s">
        <v>235</v>
      </c>
      <c r="CA39" s="16" t="s">
        <v>30</v>
      </c>
      <c r="CB39" s="16" t="s">
        <v>235</v>
      </c>
      <c r="CC39" s="16" t="s">
        <v>30</v>
      </c>
      <c r="CD39" s="16" t="s">
        <v>235</v>
      </c>
      <c r="CE39" s="16" t="s">
        <v>30</v>
      </c>
      <c r="CF39" s="16" t="s">
        <v>235</v>
      </c>
      <c r="CG39" s="16" t="s">
        <v>30</v>
      </c>
      <c r="CH39" s="16" t="s">
        <v>235</v>
      </c>
      <c r="CI39" s="16" t="s">
        <v>30</v>
      </c>
      <c r="CJ39" s="16" t="s">
        <v>235</v>
      </c>
      <c r="CK39" s="16" t="s">
        <v>30</v>
      </c>
      <c r="CL39" s="16" t="s">
        <v>235</v>
      </c>
      <c r="CM39" s="16" t="s">
        <v>30</v>
      </c>
      <c r="CN39" s="16" t="s">
        <v>235</v>
      </c>
      <c r="CO39" s="16" t="s">
        <v>30</v>
      </c>
      <c r="CP39" s="16" t="s">
        <v>235</v>
      </c>
      <c r="CQ39" s="16" t="s">
        <v>30</v>
      </c>
      <c r="CR39" s="16" t="s">
        <v>235</v>
      </c>
      <c r="CS39" s="16" t="s">
        <v>30</v>
      </c>
      <c r="CT39" s="16" t="s">
        <v>235</v>
      </c>
      <c r="CU39" s="16" t="s">
        <v>30</v>
      </c>
      <c r="CV39" s="16" t="s">
        <v>235</v>
      </c>
      <c r="CW39" s="16" t="s">
        <v>30</v>
      </c>
      <c r="CX39" s="16" t="s">
        <v>235</v>
      </c>
      <c r="CY39" s="16" t="s">
        <v>30</v>
      </c>
      <c r="CZ39" s="16" t="s">
        <v>235</v>
      </c>
      <c r="DA39" s="16" t="s">
        <v>30</v>
      </c>
      <c r="DB39" s="16" t="s">
        <v>235</v>
      </c>
      <c r="DC39" s="16" t="s">
        <v>30</v>
      </c>
      <c r="DD39" s="16" t="s">
        <v>235</v>
      </c>
      <c r="DE39" s="16" t="s">
        <v>30</v>
      </c>
      <c r="DF39" s="16" t="s">
        <v>235</v>
      </c>
      <c r="DG39" s="16" t="s">
        <v>30</v>
      </c>
      <c r="DH39" s="16" t="s">
        <v>235</v>
      </c>
      <c r="DI39" s="16" t="s">
        <v>30</v>
      </c>
      <c r="DJ39" s="16" t="s">
        <v>235</v>
      </c>
      <c r="DK39" s="16" t="s">
        <v>30</v>
      </c>
      <c r="DL39" s="16" t="s">
        <v>235</v>
      </c>
      <c r="DM39" s="16" t="s">
        <v>30</v>
      </c>
      <c r="DN39" s="16" t="s">
        <v>235</v>
      </c>
      <c r="DO39" s="16" t="s">
        <v>30</v>
      </c>
      <c r="DP39" s="16" t="s">
        <v>235</v>
      </c>
      <c r="DQ39" s="16" t="s">
        <v>30</v>
      </c>
      <c r="DR39" s="16" t="s">
        <v>235</v>
      </c>
      <c r="DS39" s="16" t="s">
        <v>30</v>
      </c>
      <c r="DT39" s="16" t="s">
        <v>235</v>
      </c>
      <c r="DU39" s="16" t="s">
        <v>30</v>
      </c>
      <c r="DV39" s="16" t="s">
        <v>235</v>
      </c>
      <c r="DW39" s="16" t="s">
        <v>30</v>
      </c>
      <c r="DX39" s="16" t="s">
        <v>235</v>
      </c>
      <c r="DY39" s="16" t="s">
        <v>30</v>
      </c>
      <c r="DZ39" s="16" t="s">
        <v>235</v>
      </c>
      <c r="EA39" s="16" t="s">
        <v>30</v>
      </c>
      <c r="EB39" s="16" t="s">
        <v>235</v>
      </c>
      <c r="EC39" s="16" t="s">
        <v>30</v>
      </c>
      <c r="ED39" s="16" t="s">
        <v>235</v>
      </c>
      <c r="EE39" s="16" t="s">
        <v>30</v>
      </c>
      <c r="EF39" s="16" t="s">
        <v>235</v>
      </c>
      <c r="EG39" s="16" t="s">
        <v>30</v>
      </c>
      <c r="EH39" s="16" t="s">
        <v>235</v>
      </c>
      <c r="EI39" s="16" t="s">
        <v>30</v>
      </c>
      <c r="EJ39" s="16" t="s">
        <v>235</v>
      </c>
      <c r="EK39" s="16" t="s">
        <v>30</v>
      </c>
      <c r="EL39" s="16" t="s">
        <v>235</v>
      </c>
      <c r="EM39" s="16" t="s">
        <v>30</v>
      </c>
      <c r="EN39" s="16" t="s">
        <v>235</v>
      </c>
      <c r="EO39" s="16" t="s">
        <v>30</v>
      </c>
      <c r="EP39" s="16" t="s">
        <v>235</v>
      </c>
      <c r="EQ39" s="16" t="s">
        <v>30</v>
      </c>
      <c r="ER39" s="16" t="s">
        <v>235</v>
      </c>
      <c r="ES39" s="16" t="s">
        <v>30</v>
      </c>
      <c r="ET39" s="16" t="s">
        <v>235</v>
      </c>
      <c r="EU39" s="16" t="s">
        <v>30</v>
      </c>
      <c r="EV39" s="16" t="s">
        <v>235</v>
      </c>
      <c r="EW39" s="16" t="s">
        <v>30</v>
      </c>
      <c r="EX39" s="16" t="s">
        <v>235</v>
      </c>
      <c r="EY39" s="16" t="s">
        <v>30</v>
      </c>
      <c r="EZ39" s="16" t="s">
        <v>235</v>
      </c>
      <c r="FA39" s="16" t="s">
        <v>30</v>
      </c>
      <c r="FB39" s="16" t="s">
        <v>235</v>
      </c>
      <c r="FC39" s="16" t="s">
        <v>30</v>
      </c>
      <c r="FD39" s="16" t="s">
        <v>235</v>
      </c>
      <c r="FE39" s="16" t="s">
        <v>30</v>
      </c>
      <c r="FF39" s="16" t="s">
        <v>235</v>
      </c>
      <c r="FG39" s="16" t="s">
        <v>30</v>
      </c>
      <c r="FH39" s="16" t="s">
        <v>235</v>
      </c>
      <c r="FI39" s="16" t="s">
        <v>30</v>
      </c>
      <c r="FJ39" s="16" t="s">
        <v>235</v>
      </c>
      <c r="FK39" s="16" t="s">
        <v>30</v>
      </c>
      <c r="FL39" s="16" t="s">
        <v>235</v>
      </c>
      <c r="FM39" s="16" t="s">
        <v>30</v>
      </c>
      <c r="FN39" s="16" t="s">
        <v>235</v>
      </c>
      <c r="FO39" s="16" t="s">
        <v>30</v>
      </c>
      <c r="FP39" s="16" t="s">
        <v>235</v>
      </c>
      <c r="FQ39" s="16" t="s">
        <v>30</v>
      </c>
      <c r="FR39" s="16" t="s">
        <v>235</v>
      </c>
      <c r="FS39" s="16" t="s">
        <v>30</v>
      </c>
      <c r="FT39" s="16" t="s">
        <v>235</v>
      </c>
      <c r="FU39" s="16" t="s">
        <v>30</v>
      </c>
      <c r="FV39" s="16" t="s">
        <v>235</v>
      </c>
      <c r="FW39" s="16" t="s">
        <v>30</v>
      </c>
      <c r="FX39" s="16" t="s">
        <v>235</v>
      </c>
      <c r="FY39" s="16" t="s">
        <v>30</v>
      </c>
      <c r="FZ39" s="16" t="s">
        <v>235</v>
      </c>
      <c r="GA39" s="16" t="s">
        <v>30</v>
      </c>
      <c r="GB39" s="16" t="s">
        <v>235</v>
      </c>
      <c r="GC39" s="16" t="s">
        <v>30</v>
      </c>
      <c r="GD39" s="16" t="s">
        <v>235</v>
      </c>
      <c r="GE39" s="16" t="s">
        <v>30</v>
      </c>
      <c r="GF39" s="16" t="s">
        <v>235</v>
      </c>
      <c r="GG39" s="16" t="s">
        <v>30</v>
      </c>
      <c r="GH39" s="16" t="s">
        <v>235</v>
      </c>
      <c r="GI39" s="16" t="s">
        <v>30</v>
      </c>
      <c r="GJ39" s="16" t="s">
        <v>235</v>
      </c>
      <c r="GK39" s="16" t="s">
        <v>30</v>
      </c>
      <c r="GL39" s="16" t="s">
        <v>235</v>
      </c>
      <c r="GM39" s="16" t="s">
        <v>30</v>
      </c>
      <c r="GN39" s="16" t="s">
        <v>235</v>
      </c>
      <c r="GO39" s="16" t="s">
        <v>30</v>
      </c>
      <c r="GP39" s="16" t="s">
        <v>235</v>
      </c>
      <c r="GQ39" s="16" t="s">
        <v>30</v>
      </c>
      <c r="GR39" s="16" t="s">
        <v>235</v>
      </c>
      <c r="GS39" s="16" t="s">
        <v>30</v>
      </c>
      <c r="GT39" s="16" t="s">
        <v>235</v>
      </c>
      <c r="GU39" s="16" t="s">
        <v>30</v>
      </c>
      <c r="GV39" s="16" t="s">
        <v>235</v>
      </c>
      <c r="GW39" s="16" t="s">
        <v>30</v>
      </c>
      <c r="GX39" s="16" t="s">
        <v>235</v>
      </c>
      <c r="GY39" s="16" t="s">
        <v>30</v>
      </c>
      <c r="GZ39" s="16" t="s">
        <v>235</v>
      </c>
      <c r="HA39" s="16" t="s">
        <v>30</v>
      </c>
      <c r="HB39" s="16" t="s">
        <v>235</v>
      </c>
      <c r="HC39" s="16" t="s">
        <v>30</v>
      </c>
      <c r="HD39" s="16" t="s">
        <v>235</v>
      </c>
      <c r="HE39" s="16" t="s">
        <v>30</v>
      </c>
      <c r="HF39" s="16" t="s">
        <v>235</v>
      </c>
      <c r="HG39" s="16" t="s">
        <v>30</v>
      </c>
      <c r="HH39" s="16" t="s">
        <v>235</v>
      </c>
      <c r="HI39" s="16" t="s">
        <v>30</v>
      </c>
      <c r="HJ39" s="16" t="s">
        <v>235</v>
      </c>
      <c r="HK39" s="16" t="s">
        <v>30</v>
      </c>
      <c r="HL39" s="16" t="s">
        <v>235</v>
      </c>
      <c r="HM39" s="16" t="s">
        <v>30</v>
      </c>
      <c r="HN39" s="16" t="s">
        <v>235</v>
      </c>
      <c r="HO39" s="16" t="s">
        <v>30</v>
      </c>
      <c r="HP39" s="16" t="s">
        <v>235</v>
      </c>
      <c r="HQ39" s="16" t="s">
        <v>30</v>
      </c>
      <c r="HR39" s="16" t="s">
        <v>235</v>
      </c>
      <c r="HS39" s="16" t="s">
        <v>30</v>
      </c>
      <c r="HT39" s="16" t="s">
        <v>235</v>
      </c>
      <c r="HU39" s="16" t="s">
        <v>30</v>
      </c>
      <c r="HV39" s="16" t="s">
        <v>235</v>
      </c>
      <c r="HW39" s="16" t="s">
        <v>30</v>
      </c>
      <c r="HX39" s="16" t="s">
        <v>235</v>
      </c>
      <c r="HY39" s="16" t="s">
        <v>30</v>
      </c>
      <c r="HZ39" s="16" t="s">
        <v>235</v>
      </c>
      <c r="IA39" s="16" t="s">
        <v>30</v>
      </c>
      <c r="IB39" s="16" t="s">
        <v>235</v>
      </c>
      <c r="IC39" s="16" t="s">
        <v>30</v>
      </c>
      <c r="ID39" s="16" t="s">
        <v>235</v>
      </c>
      <c r="IE39" s="16" t="s">
        <v>30</v>
      </c>
      <c r="IF39" s="16" t="s">
        <v>235</v>
      </c>
      <c r="IG39" s="16" t="s">
        <v>30</v>
      </c>
      <c r="IH39" s="16" t="s">
        <v>235</v>
      </c>
      <c r="II39" s="16" t="s">
        <v>30</v>
      </c>
      <c r="IJ39" s="16" t="s">
        <v>235</v>
      </c>
      <c r="IK39" s="16" t="s">
        <v>30</v>
      </c>
      <c r="IL39" s="16" t="s">
        <v>235</v>
      </c>
      <c r="IM39" s="16" t="s">
        <v>30</v>
      </c>
      <c r="IN39" s="16" t="s">
        <v>235</v>
      </c>
      <c r="IO39" s="16" t="s">
        <v>30</v>
      </c>
      <c r="IP39" s="16" t="s">
        <v>235</v>
      </c>
      <c r="IQ39" s="16" t="s">
        <v>30</v>
      </c>
      <c r="IR39" s="16" t="s">
        <v>235</v>
      </c>
      <c r="IS39" s="16" t="s">
        <v>30</v>
      </c>
      <c r="IT39" s="16" t="s">
        <v>235</v>
      </c>
      <c r="IU39" s="16" t="s">
        <v>30</v>
      </c>
      <c r="IV39" s="16" t="s">
        <v>235</v>
      </c>
      <c r="IW39" s="16" t="s">
        <v>30</v>
      </c>
      <c r="IX39" s="16" t="s">
        <v>235</v>
      </c>
      <c r="IY39" s="16" t="s">
        <v>30</v>
      </c>
      <c r="IZ39" s="16" t="s">
        <v>235</v>
      </c>
      <c r="JA39" s="16" t="s">
        <v>30</v>
      </c>
      <c r="JB39" s="16" t="s">
        <v>235</v>
      </c>
      <c r="JC39" s="16" t="s">
        <v>30</v>
      </c>
      <c r="JD39" s="16" t="s">
        <v>235</v>
      </c>
      <c r="JE39" s="16" t="s">
        <v>30</v>
      </c>
      <c r="JF39" s="16" t="s">
        <v>235</v>
      </c>
      <c r="JG39" s="16" t="s">
        <v>30</v>
      </c>
      <c r="JH39" s="16" t="s">
        <v>235</v>
      </c>
      <c r="JI39" s="16" t="s">
        <v>30</v>
      </c>
      <c r="JJ39" s="16" t="s">
        <v>235</v>
      </c>
      <c r="JK39" s="16" t="s">
        <v>30</v>
      </c>
      <c r="JL39" s="16" t="s">
        <v>235</v>
      </c>
      <c r="JM39" s="16" t="s">
        <v>30</v>
      </c>
      <c r="JN39" s="16" t="s">
        <v>235</v>
      </c>
      <c r="JO39" s="16" t="s">
        <v>30</v>
      </c>
      <c r="JP39" s="16" t="s">
        <v>235</v>
      </c>
      <c r="JQ39" s="16" t="s">
        <v>30</v>
      </c>
      <c r="JR39" s="16" t="s">
        <v>235</v>
      </c>
      <c r="JS39" s="16" t="s">
        <v>30</v>
      </c>
      <c r="JT39" s="16" t="s">
        <v>235</v>
      </c>
      <c r="JU39" s="16" t="s">
        <v>30</v>
      </c>
      <c r="JV39" s="16" t="s">
        <v>235</v>
      </c>
      <c r="JW39" s="16" t="s">
        <v>30</v>
      </c>
      <c r="JX39" s="16" t="s">
        <v>235</v>
      </c>
      <c r="JY39" s="16" t="s">
        <v>30</v>
      </c>
      <c r="JZ39" s="16" t="s">
        <v>235</v>
      </c>
      <c r="KA39" s="16" t="s">
        <v>30</v>
      </c>
      <c r="KB39" s="16" t="s">
        <v>235</v>
      </c>
      <c r="KC39" s="16" t="s">
        <v>30</v>
      </c>
      <c r="KD39" s="16" t="s">
        <v>235</v>
      </c>
      <c r="KE39" s="16" t="s">
        <v>30</v>
      </c>
      <c r="KF39" s="16" t="s">
        <v>235</v>
      </c>
      <c r="KG39" s="16" t="s">
        <v>30</v>
      </c>
      <c r="KH39" s="16" t="s">
        <v>235</v>
      </c>
      <c r="KI39" s="16" t="s">
        <v>30</v>
      </c>
      <c r="KJ39" s="16" t="s">
        <v>235</v>
      </c>
      <c r="KK39" s="16" t="s">
        <v>30</v>
      </c>
      <c r="KL39" s="16" t="s">
        <v>235</v>
      </c>
      <c r="KM39" s="16" t="s">
        <v>30</v>
      </c>
      <c r="KN39" s="16" t="s">
        <v>235</v>
      </c>
      <c r="KO39" s="16" t="s">
        <v>30</v>
      </c>
      <c r="KP39" s="16" t="s">
        <v>235</v>
      </c>
      <c r="KQ39" s="16" t="s">
        <v>30</v>
      </c>
      <c r="KR39" s="16" t="s">
        <v>235</v>
      </c>
      <c r="KS39" s="16" t="s">
        <v>30</v>
      </c>
      <c r="KT39" s="16" t="s">
        <v>235</v>
      </c>
      <c r="KU39" s="16" t="s">
        <v>30</v>
      </c>
      <c r="KV39" s="16" t="s">
        <v>235</v>
      </c>
      <c r="KW39" s="16" t="s">
        <v>30</v>
      </c>
      <c r="KX39" s="16" t="s">
        <v>235</v>
      </c>
      <c r="KY39" s="16" t="s">
        <v>30</v>
      </c>
      <c r="KZ39" s="16" t="s">
        <v>235</v>
      </c>
      <c r="LA39" s="16" t="s">
        <v>30</v>
      </c>
      <c r="LB39" s="16" t="s">
        <v>235</v>
      </c>
      <c r="LC39" s="16" t="s">
        <v>30</v>
      </c>
      <c r="LD39" s="16" t="s">
        <v>235</v>
      </c>
      <c r="LE39" s="16" t="s">
        <v>30</v>
      </c>
      <c r="LF39" s="16" t="s">
        <v>235</v>
      </c>
      <c r="LG39" s="16" t="s">
        <v>30</v>
      </c>
      <c r="LH39" s="16" t="s">
        <v>235</v>
      </c>
      <c r="LI39" s="16" t="s">
        <v>30</v>
      </c>
      <c r="LJ39" s="16" t="s">
        <v>235</v>
      </c>
      <c r="LK39" s="16" t="s">
        <v>30</v>
      </c>
      <c r="LL39" s="16" t="s">
        <v>235</v>
      </c>
      <c r="LM39" s="16" t="s">
        <v>30</v>
      </c>
      <c r="LN39" s="16" t="s">
        <v>235</v>
      </c>
      <c r="LO39" s="16" t="s">
        <v>30</v>
      </c>
      <c r="LP39" s="16" t="s">
        <v>235</v>
      </c>
      <c r="LQ39" s="16" t="s">
        <v>30</v>
      </c>
      <c r="LR39" s="16" t="s">
        <v>235</v>
      </c>
      <c r="LS39" s="16" t="s">
        <v>30</v>
      </c>
      <c r="LT39" s="16" t="s">
        <v>235</v>
      </c>
      <c r="LU39" s="16" t="s">
        <v>30</v>
      </c>
      <c r="LV39" s="16" t="s">
        <v>235</v>
      </c>
      <c r="LW39" s="16" t="s">
        <v>30</v>
      </c>
      <c r="LX39" s="16" t="s">
        <v>235</v>
      </c>
      <c r="LY39" s="16" t="s">
        <v>30</v>
      </c>
      <c r="LZ39" s="16" t="s">
        <v>235</v>
      </c>
      <c r="MA39" s="16" t="s">
        <v>30</v>
      </c>
      <c r="MB39" s="16" t="s">
        <v>235</v>
      </c>
      <c r="MC39" s="16" t="s">
        <v>30</v>
      </c>
      <c r="MD39" s="16" t="s">
        <v>235</v>
      </c>
      <c r="ME39" s="16" t="s">
        <v>30</v>
      </c>
      <c r="MF39" s="16" t="s">
        <v>235</v>
      </c>
      <c r="MG39" s="16" t="s">
        <v>30</v>
      </c>
      <c r="MH39" s="16" t="s">
        <v>235</v>
      </c>
      <c r="MI39" s="16" t="s">
        <v>30</v>
      </c>
      <c r="MJ39" s="16" t="s">
        <v>235</v>
      </c>
      <c r="MK39" s="16" t="s">
        <v>30</v>
      </c>
      <c r="ML39" s="16" t="s">
        <v>235</v>
      </c>
      <c r="MM39" s="16" t="s">
        <v>30</v>
      </c>
      <c r="MN39" s="16" t="s">
        <v>235</v>
      </c>
      <c r="MO39" s="16" t="s">
        <v>30</v>
      </c>
      <c r="MP39" s="16" t="s">
        <v>235</v>
      </c>
      <c r="MQ39" s="16" t="s">
        <v>30</v>
      </c>
      <c r="MR39" s="16" t="s">
        <v>235</v>
      </c>
      <c r="MS39" s="16" t="s">
        <v>30</v>
      </c>
      <c r="MT39" s="16" t="s">
        <v>235</v>
      </c>
      <c r="MU39" s="16" t="s">
        <v>30</v>
      </c>
      <c r="MV39" s="16" t="s">
        <v>235</v>
      </c>
      <c r="MW39" s="16" t="s">
        <v>30</v>
      </c>
      <c r="MX39" s="16" t="s">
        <v>235</v>
      </c>
      <c r="MY39" s="16" t="s">
        <v>30</v>
      </c>
      <c r="MZ39" s="16" t="s">
        <v>235</v>
      </c>
      <c r="NA39" s="16" t="s">
        <v>30</v>
      </c>
      <c r="NB39" s="16" t="s">
        <v>235</v>
      </c>
      <c r="NC39" s="16" t="s">
        <v>30</v>
      </c>
      <c r="ND39" s="16" t="s">
        <v>235</v>
      </c>
      <c r="NE39" s="16" t="s">
        <v>30</v>
      </c>
      <c r="NF39" s="16" t="s">
        <v>235</v>
      </c>
      <c r="NG39" s="16" t="s">
        <v>30</v>
      </c>
      <c r="NH39" s="16" t="s">
        <v>235</v>
      </c>
      <c r="NI39" s="16" t="s">
        <v>30</v>
      </c>
      <c r="NJ39" s="16" t="s">
        <v>235</v>
      </c>
      <c r="NK39" s="16" t="s">
        <v>30</v>
      </c>
      <c r="NL39" s="16" t="s">
        <v>235</v>
      </c>
      <c r="NM39" s="16" t="s">
        <v>30</v>
      </c>
      <c r="NN39" s="16" t="s">
        <v>235</v>
      </c>
      <c r="NO39" s="16" t="s">
        <v>30</v>
      </c>
      <c r="NP39" s="16" t="s">
        <v>235</v>
      </c>
      <c r="NQ39" s="16" t="s">
        <v>30</v>
      </c>
      <c r="NR39" s="16" t="s">
        <v>235</v>
      </c>
      <c r="NS39" s="16" t="s">
        <v>30</v>
      </c>
      <c r="NT39" s="16" t="s">
        <v>235</v>
      </c>
      <c r="NU39" s="16" t="s">
        <v>30</v>
      </c>
      <c r="NV39" s="16" t="s">
        <v>235</v>
      </c>
      <c r="NW39" s="16" t="s">
        <v>30</v>
      </c>
      <c r="NX39" s="16" t="s">
        <v>235</v>
      </c>
      <c r="NY39" s="16" t="s">
        <v>30</v>
      </c>
      <c r="NZ39" s="16" t="s">
        <v>235</v>
      </c>
      <c r="OA39" s="16" t="s">
        <v>30</v>
      </c>
      <c r="OB39" s="16" t="s">
        <v>235</v>
      </c>
      <c r="OC39" s="16" t="s">
        <v>30</v>
      </c>
      <c r="OD39" s="16" t="s">
        <v>235</v>
      </c>
      <c r="OE39" s="16" t="s">
        <v>30</v>
      </c>
      <c r="OF39" s="16" t="s">
        <v>235</v>
      </c>
      <c r="OG39" s="16" t="s">
        <v>30</v>
      </c>
      <c r="OH39" s="16" t="s">
        <v>235</v>
      </c>
      <c r="OI39" s="16" t="s">
        <v>30</v>
      </c>
      <c r="OJ39" s="16" t="s">
        <v>235</v>
      </c>
      <c r="OK39" s="16" t="s">
        <v>30</v>
      </c>
      <c r="OL39" s="16" t="s">
        <v>235</v>
      </c>
      <c r="OM39" s="16" t="s">
        <v>30</v>
      </c>
      <c r="ON39" s="16" t="s">
        <v>235</v>
      </c>
      <c r="OO39" s="16" t="s">
        <v>30</v>
      </c>
      <c r="OP39" s="16" t="s">
        <v>235</v>
      </c>
      <c r="OQ39" s="16" t="s">
        <v>30</v>
      </c>
    </row>
    <row r="40" spans="1:407" x14ac:dyDescent="0.3">
      <c r="A40" s="12" t="s">
        <v>265</v>
      </c>
      <c r="B40" s="13" t="s">
        <v>235</v>
      </c>
      <c r="C40" s="13" t="s">
        <v>30</v>
      </c>
      <c r="D40" s="13" t="s">
        <v>235</v>
      </c>
      <c r="E40" s="13" t="s">
        <v>30</v>
      </c>
      <c r="F40" s="13" t="s">
        <v>235</v>
      </c>
      <c r="G40" s="13" t="s">
        <v>30</v>
      </c>
      <c r="H40" s="13" t="s">
        <v>235</v>
      </c>
      <c r="I40" s="13" t="s">
        <v>30</v>
      </c>
      <c r="J40" s="13" t="s">
        <v>235</v>
      </c>
      <c r="K40" s="13" t="s">
        <v>30</v>
      </c>
      <c r="L40" s="13" t="s">
        <v>235</v>
      </c>
      <c r="M40" s="13" t="s">
        <v>30</v>
      </c>
      <c r="N40" s="13" t="s">
        <v>235</v>
      </c>
      <c r="O40" s="13" t="s">
        <v>30</v>
      </c>
      <c r="P40" s="13" t="s">
        <v>235</v>
      </c>
      <c r="Q40" s="13" t="s">
        <v>30</v>
      </c>
      <c r="R40" s="13" t="s">
        <v>235</v>
      </c>
      <c r="S40" s="13" t="s">
        <v>30</v>
      </c>
      <c r="T40" s="13" t="s">
        <v>235</v>
      </c>
      <c r="U40" s="13" t="s">
        <v>30</v>
      </c>
      <c r="V40" s="13" t="s">
        <v>235</v>
      </c>
      <c r="W40" s="13" t="s">
        <v>30</v>
      </c>
      <c r="X40" s="13" t="s">
        <v>235</v>
      </c>
      <c r="Y40" s="13" t="s">
        <v>30</v>
      </c>
      <c r="Z40" s="14">
        <v>276061.09999999998</v>
      </c>
      <c r="AA40" s="13" t="s">
        <v>30</v>
      </c>
      <c r="AB40" s="14">
        <v>284211.5</v>
      </c>
      <c r="AC40" s="13" t="s">
        <v>30</v>
      </c>
      <c r="AD40" s="14">
        <v>284591.90000000002</v>
      </c>
      <c r="AE40" s="13" t="s">
        <v>30</v>
      </c>
      <c r="AF40" s="14">
        <v>297806.90000000002</v>
      </c>
      <c r="AG40" s="13" t="s">
        <v>30</v>
      </c>
      <c r="AH40" s="15">
        <v>290968</v>
      </c>
      <c r="AI40" s="13" t="s">
        <v>30</v>
      </c>
      <c r="AJ40" s="14">
        <v>279555.8</v>
      </c>
      <c r="AK40" s="13" t="s">
        <v>30</v>
      </c>
      <c r="AL40" s="14">
        <v>300431.2</v>
      </c>
      <c r="AM40" s="13" t="s">
        <v>30</v>
      </c>
      <c r="AN40" s="14">
        <v>319098.5</v>
      </c>
      <c r="AO40" s="13" t="s">
        <v>30</v>
      </c>
      <c r="AP40" s="14">
        <v>323610.5</v>
      </c>
      <c r="AQ40" s="13" t="s">
        <v>30</v>
      </c>
      <c r="AR40" s="14">
        <v>308377.7</v>
      </c>
      <c r="AS40" s="13" t="s">
        <v>30</v>
      </c>
      <c r="AT40" s="14">
        <v>297612.3</v>
      </c>
      <c r="AU40" s="13" t="s">
        <v>30</v>
      </c>
      <c r="AV40" s="14">
        <v>323758.59999999998</v>
      </c>
      <c r="AW40" s="13" t="s">
        <v>30</v>
      </c>
      <c r="AX40" s="14">
        <v>322414.2</v>
      </c>
      <c r="AY40" s="13" t="s">
        <v>30</v>
      </c>
      <c r="AZ40" s="14">
        <v>313091.7</v>
      </c>
      <c r="BA40" s="13" t="s">
        <v>30</v>
      </c>
      <c r="BB40" s="14">
        <v>307975.7</v>
      </c>
      <c r="BC40" s="13" t="s">
        <v>30</v>
      </c>
      <c r="BD40" s="14">
        <v>325244.79999999999</v>
      </c>
      <c r="BE40" s="13" t="s">
        <v>30</v>
      </c>
      <c r="BF40" s="14">
        <v>323039.3</v>
      </c>
      <c r="BG40" s="13" t="s">
        <v>30</v>
      </c>
      <c r="BH40" s="14">
        <v>312755.90000000002</v>
      </c>
      <c r="BI40" s="13" t="s">
        <v>30</v>
      </c>
      <c r="BJ40" s="15">
        <v>309312</v>
      </c>
      <c r="BK40" s="13" t="s">
        <v>30</v>
      </c>
      <c r="BL40" s="14">
        <v>329591.3</v>
      </c>
      <c r="BM40" s="13" t="s">
        <v>30</v>
      </c>
      <c r="BN40" s="14">
        <v>327875.90000000002</v>
      </c>
      <c r="BO40" s="13" t="s">
        <v>30</v>
      </c>
      <c r="BP40" s="14">
        <v>329721.40000000002</v>
      </c>
      <c r="BQ40" s="13" t="s">
        <v>30</v>
      </c>
      <c r="BR40" s="14">
        <v>322275.40000000002</v>
      </c>
      <c r="BS40" s="13" t="s">
        <v>30</v>
      </c>
      <c r="BT40" s="14">
        <v>344368.1</v>
      </c>
      <c r="BU40" s="13" t="s">
        <v>30</v>
      </c>
      <c r="BV40" s="14">
        <v>351964.1</v>
      </c>
      <c r="BW40" s="13" t="s">
        <v>30</v>
      </c>
      <c r="BX40" s="14">
        <v>344568.8</v>
      </c>
      <c r="BY40" s="13" t="s">
        <v>30</v>
      </c>
      <c r="BZ40" s="14">
        <v>351439.3</v>
      </c>
      <c r="CA40" s="13" t="s">
        <v>30</v>
      </c>
      <c r="CB40" s="14">
        <v>367384.5</v>
      </c>
      <c r="CC40" s="13" t="s">
        <v>30</v>
      </c>
      <c r="CD40" s="14">
        <v>373117.6</v>
      </c>
      <c r="CE40" s="13" t="s">
        <v>30</v>
      </c>
      <c r="CF40" s="14">
        <v>356706.5</v>
      </c>
      <c r="CG40" s="13" t="s">
        <v>30</v>
      </c>
      <c r="CH40" s="14">
        <v>364153.1</v>
      </c>
      <c r="CI40" s="13" t="s">
        <v>30</v>
      </c>
      <c r="CJ40" s="14">
        <v>389440.7</v>
      </c>
      <c r="CK40" s="13" t="s">
        <v>30</v>
      </c>
      <c r="CL40" s="14">
        <v>380445.9</v>
      </c>
      <c r="CM40" s="13" t="s">
        <v>30</v>
      </c>
      <c r="CN40" s="14">
        <v>374102.6</v>
      </c>
      <c r="CO40" s="13" t="s">
        <v>30</v>
      </c>
      <c r="CP40" s="14">
        <v>375819.9</v>
      </c>
      <c r="CQ40" s="13" t="s">
        <v>30</v>
      </c>
      <c r="CR40" s="14">
        <v>404458.4</v>
      </c>
      <c r="CS40" s="13" t="s">
        <v>30</v>
      </c>
      <c r="CT40" s="14">
        <v>393816.3</v>
      </c>
      <c r="CU40" s="13" t="s">
        <v>30</v>
      </c>
      <c r="CV40" s="14">
        <v>392872.8</v>
      </c>
      <c r="CW40" s="13" t="s">
        <v>30</v>
      </c>
      <c r="CX40" s="15">
        <v>376572</v>
      </c>
      <c r="CY40" s="13" t="s">
        <v>30</v>
      </c>
      <c r="CZ40" s="14">
        <v>413191.2</v>
      </c>
      <c r="DA40" s="13" t="s">
        <v>30</v>
      </c>
      <c r="DB40" s="14">
        <v>404125.1</v>
      </c>
      <c r="DC40" s="13" t="s">
        <v>30</v>
      </c>
      <c r="DD40" s="14">
        <v>389039.2</v>
      </c>
      <c r="DE40" s="13" t="s">
        <v>30</v>
      </c>
      <c r="DF40" s="14">
        <v>385192.6</v>
      </c>
      <c r="DG40" s="13" t="s">
        <v>30</v>
      </c>
      <c r="DH40" s="14">
        <v>413072.9</v>
      </c>
      <c r="DI40" s="13" t="s">
        <v>30</v>
      </c>
      <c r="DJ40" s="14">
        <v>396862.5</v>
      </c>
      <c r="DK40" s="13" t="s">
        <v>30</v>
      </c>
      <c r="DL40" s="14">
        <v>407323.7</v>
      </c>
      <c r="DM40" s="13" t="s">
        <v>30</v>
      </c>
      <c r="DN40" s="14">
        <v>395076.4</v>
      </c>
      <c r="DO40" s="13" t="s">
        <v>30</v>
      </c>
      <c r="DP40" s="14">
        <v>424906.9</v>
      </c>
      <c r="DQ40" s="13" t="s">
        <v>30</v>
      </c>
      <c r="DR40" s="14">
        <v>414895.5</v>
      </c>
      <c r="DS40" s="13" t="s">
        <v>30</v>
      </c>
      <c r="DT40" s="14">
        <v>403491.4</v>
      </c>
      <c r="DU40" s="13" t="s">
        <v>30</v>
      </c>
      <c r="DV40" s="14">
        <v>397730.5</v>
      </c>
      <c r="DW40" s="13" t="s">
        <v>30</v>
      </c>
      <c r="DX40" s="14">
        <v>438154.1</v>
      </c>
      <c r="DY40" s="13" t="s">
        <v>30</v>
      </c>
      <c r="DZ40" s="14">
        <v>422873.7</v>
      </c>
      <c r="EA40" s="13" t="s">
        <v>30</v>
      </c>
      <c r="EB40" s="14">
        <v>429471.6</v>
      </c>
      <c r="EC40" s="13" t="s">
        <v>30</v>
      </c>
      <c r="ED40" s="14">
        <v>413613.7</v>
      </c>
      <c r="EE40" s="13" t="s">
        <v>30</v>
      </c>
      <c r="EF40" s="15">
        <v>443972</v>
      </c>
      <c r="EG40" s="13" t="s">
        <v>30</v>
      </c>
      <c r="EH40" s="14">
        <v>447898.5</v>
      </c>
      <c r="EI40" s="13" t="s">
        <v>30</v>
      </c>
      <c r="EJ40" s="14">
        <v>430782.5</v>
      </c>
      <c r="EK40" s="13" t="s">
        <v>30</v>
      </c>
      <c r="EL40" s="14">
        <v>435715.1</v>
      </c>
      <c r="EM40" s="13" t="s">
        <v>30</v>
      </c>
      <c r="EN40" s="15">
        <v>457550</v>
      </c>
      <c r="EO40" s="13" t="s">
        <v>30</v>
      </c>
      <c r="EP40" s="14">
        <v>446182.5</v>
      </c>
      <c r="EQ40" s="13" t="s">
        <v>30</v>
      </c>
      <c r="ER40" s="14">
        <v>438430.4</v>
      </c>
      <c r="ES40" s="13" t="s">
        <v>30</v>
      </c>
      <c r="ET40" s="14">
        <v>444700.6</v>
      </c>
      <c r="EU40" s="13" t="s">
        <v>30</v>
      </c>
      <c r="EV40" s="14">
        <v>488830.8</v>
      </c>
      <c r="EW40" s="13" t="s">
        <v>30</v>
      </c>
      <c r="EX40" s="14">
        <v>471090.9</v>
      </c>
      <c r="EY40" s="13" t="s">
        <v>30</v>
      </c>
      <c r="EZ40" s="14">
        <v>473807.5</v>
      </c>
      <c r="FA40" s="13" t="s">
        <v>30</v>
      </c>
      <c r="FB40" s="14">
        <v>460663.8</v>
      </c>
      <c r="FC40" s="13" t="s">
        <v>30</v>
      </c>
      <c r="FD40" s="14">
        <v>508835.1</v>
      </c>
      <c r="FE40" s="13" t="s">
        <v>30</v>
      </c>
      <c r="FF40" s="14">
        <v>495388.5</v>
      </c>
      <c r="FG40" s="13" t="s">
        <v>30</v>
      </c>
      <c r="FH40" s="15">
        <v>477371</v>
      </c>
      <c r="FI40" s="13" t="s">
        <v>30</v>
      </c>
      <c r="FJ40" s="14">
        <v>489702.5</v>
      </c>
      <c r="FK40" s="13" t="s">
        <v>30</v>
      </c>
      <c r="FL40" s="14">
        <v>526482.19999999995</v>
      </c>
      <c r="FM40" s="13" t="s">
        <v>30</v>
      </c>
      <c r="FN40" s="14">
        <v>520599.8</v>
      </c>
      <c r="FO40" s="13" t="s">
        <v>30</v>
      </c>
      <c r="FP40" s="14">
        <v>503461.4</v>
      </c>
      <c r="FQ40" s="13" t="s">
        <v>30</v>
      </c>
      <c r="FR40" s="14">
        <v>518124.79999999999</v>
      </c>
      <c r="FS40" s="13" t="s">
        <v>30</v>
      </c>
      <c r="FT40" s="15">
        <v>538670</v>
      </c>
      <c r="FU40" s="13" t="s">
        <v>30</v>
      </c>
      <c r="FV40" s="14">
        <v>532401.69999999995</v>
      </c>
      <c r="FW40" s="13" t="s">
        <v>30</v>
      </c>
      <c r="FX40" s="15">
        <v>548796</v>
      </c>
      <c r="FY40" s="13" t="s">
        <v>30</v>
      </c>
      <c r="FZ40" s="14">
        <v>533022.4</v>
      </c>
      <c r="GA40" s="13" t="s">
        <v>30</v>
      </c>
      <c r="GB40" s="14">
        <v>575599.5</v>
      </c>
      <c r="GC40" s="13" t="s">
        <v>30</v>
      </c>
      <c r="GD40" s="14">
        <v>572246.69999999995</v>
      </c>
      <c r="GE40" s="13" t="s">
        <v>30</v>
      </c>
      <c r="GF40" s="14">
        <v>552305.6</v>
      </c>
      <c r="GG40" s="13" t="s">
        <v>30</v>
      </c>
      <c r="GH40" s="14">
        <v>539322.30000000005</v>
      </c>
      <c r="GI40" s="13" t="s">
        <v>30</v>
      </c>
      <c r="GJ40" s="14">
        <v>577268.5</v>
      </c>
      <c r="GK40" s="13" t="s">
        <v>30</v>
      </c>
      <c r="GL40" s="14">
        <v>569120.6</v>
      </c>
      <c r="GM40" s="13" t="s">
        <v>30</v>
      </c>
      <c r="GN40" s="14">
        <v>554036.5</v>
      </c>
      <c r="GO40" s="13" t="s">
        <v>30</v>
      </c>
      <c r="GP40" s="14">
        <v>559637.6</v>
      </c>
      <c r="GQ40" s="13" t="s">
        <v>30</v>
      </c>
      <c r="GR40" s="14">
        <v>603581.4</v>
      </c>
      <c r="GS40" s="13" t="s">
        <v>30</v>
      </c>
      <c r="GT40" s="15">
        <v>608786</v>
      </c>
      <c r="GU40" s="13" t="s">
        <v>30</v>
      </c>
      <c r="GV40" s="15">
        <v>568783</v>
      </c>
      <c r="GW40" s="13" t="s">
        <v>30</v>
      </c>
      <c r="GX40" s="14">
        <v>573548.9</v>
      </c>
      <c r="GY40" s="13" t="s">
        <v>30</v>
      </c>
      <c r="GZ40" s="14">
        <v>612545.19999999995</v>
      </c>
      <c r="HA40" s="13" t="s">
        <v>30</v>
      </c>
      <c r="HB40" s="14">
        <v>610477.30000000005</v>
      </c>
      <c r="HC40" s="13" t="s">
        <v>30</v>
      </c>
      <c r="HD40" s="14">
        <v>579208.9</v>
      </c>
      <c r="HE40" s="13" t="s">
        <v>30</v>
      </c>
      <c r="HF40" s="14">
        <v>588027.69999999995</v>
      </c>
      <c r="HG40" s="13" t="s">
        <v>30</v>
      </c>
      <c r="HH40" s="14">
        <v>629645.80000000005</v>
      </c>
      <c r="HI40" s="13" t="s">
        <v>30</v>
      </c>
      <c r="HJ40" s="14">
        <v>600775.6</v>
      </c>
      <c r="HK40" s="13" t="s">
        <v>30</v>
      </c>
      <c r="HL40" s="14">
        <v>611635.80000000005</v>
      </c>
      <c r="HM40" s="13" t="s">
        <v>30</v>
      </c>
      <c r="HN40" s="14">
        <v>586076.19999999995</v>
      </c>
      <c r="HO40" s="13" t="s">
        <v>30</v>
      </c>
      <c r="HP40" s="14">
        <v>634219.69999999995</v>
      </c>
      <c r="HQ40" s="13" t="s">
        <v>30</v>
      </c>
      <c r="HR40" s="14">
        <v>624840.80000000005</v>
      </c>
      <c r="HS40" s="13" t="s">
        <v>30</v>
      </c>
      <c r="HT40" s="14">
        <v>591762.19999999995</v>
      </c>
      <c r="HU40" s="13" t="s">
        <v>30</v>
      </c>
      <c r="HV40" s="14">
        <v>598353.9</v>
      </c>
      <c r="HW40" s="13" t="s">
        <v>30</v>
      </c>
      <c r="HX40" s="14">
        <v>638980.69999999995</v>
      </c>
      <c r="HY40" s="13" t="s">
        <v>30</v>
      </c>
      <c r="HZ40" s="14">
        <v>652784.30000000005</v>
      </c>
      <c r="IA40" s="13" t="s">
        <v>30</v>
      </c>
      <c r="IB40" s="14">
        <v>623044.80000000005</v>
      </c>
      <c r="IC40" s="13" t="s">
        <v>30</v>
      </c>
      <c r="ID40" s="14">
        <v>610135.30000000005</v>
      </c>
      <c r="IE40" s="13" t="s">
        <v>30</v>
      </c>
      <c r="IF40" s="14">
        <v>660821.9</v>
      </c>
      <c r="IG40" s="13" t="s">
        <v>30</v>
      </c>
      <c r="IH40" s="14">
        <v>643805.6</v>
      </c>
      <c r="II40" s="13" t="s">
        <v>30</v>
      </c>
      <c r="IJ40" s="14">
        <v>650128.4</v>
      </c>
      <c r="IK40" s="13" t="s">
        <v>30</v>
      </c>
      <c r="IL40" s="14">
        <v>636499.6</v>
      </c>
      <c r="IM40" s="13" t="s">
        <v>30</v>
      </c>
      <c r="IN40" s="14">
        <v>680748.2</v>
      </c>
      <c r="IO40" s="13" t="s">
        <v>30</v>
      </c>
      <c r="IP40" s="14">
        <v>672930.4</v>
      </c>
      <c r="IQ40" s="13" t="s">
        <v>30</v>
      </c>
      <c r="IR40" s="14">
        <v>642259.19999999995</v>
      </c>
      <c r="IS40" s="13" t="s">
        <v>30</v>
      </c>
      <c r="IT40" s="14">
        <v>646278.1</v>
      </c>
      <c r="IU40" s="13" t="s">
        <v>30</v>
      </c>
      <c r="IV40" s="14">
        <v>702086.3</v>
      </c>
      <c r="IW40" s="13" t="s">
        <v>30</v>
      </c>
      <c r="IX40" s="14">
        <v>684981.3</v>
      </c>
      <c r="IY40" s="13" t="s">
        <v>30</v>
      </c>
      <c r="IZ40" s="14">
        <v>655440.80000000005</v>
      </c>
      <c r="JA40" s="13" t="s">
        <v>30</v>
      </c>
      <c r="JB40" s="14">
        <v>664261.5</v>
      </c>
      <c r="JC40" s="13" t="s">
        <v>30</v>
      </c>
      <c r="JD40" s="14">
        <v>723288.1</v>
      </c>
      <c r="JE40" s="13" t="s">
        <v>30</v>
      </c>
      <c r="JF40" s="14">
        <v>680784.7</v>
      </c>
      <c r="JG40" s="13" t="s">
        <v>30</v>
      </c>
      <c r="JH40" s="14">
        <v>681746.8</v>
      </c>
      <c r="JI40" s="13" t="s">
        <v>30</v>
      </c>
      <c r="JJ40" s="14">
        <v>665297.9</v>
      </c>
      <c r="JK40" s="13" t="s">
        <v>30</v>
      </c>
      <c r="JL40" s="14">
        <v>719258.7</v>
      </c>
      <c r="JM40" s="13" t="s">
        <v>30</v>
      </c>
      <c r="JN40" s="14">
        <v>689700.2</v>
      </c>
      <c r="JO40" s="13" t="s">
        <v>30</v>
      </c>
      <c r="JP40" s="14">
        <v>649736.9</v>
      </c>
      <c r="JQ40" s="13" t="s">
        <v>30</v>
      </c>
      <c r="JR40" s="14">
        <v>651465.9</v>
      </c>
      <c r="JS40" s="13" t="s">
        <v>30</v>
      </c>
      <c r="JT40" s="14">
        <v>698304.1</v>
      </c>
      <c r="JU40" s="13" t="s">
        <v>30</v>
      </c>
      <c r="JV40" s="14">
        <v>691319.6</v>
      </c>
      <c r="JW40" s="13" t="s">
        <v>30</v>
      </c>
      <c r="JX40" s="14">
        <v>666329.4</v>
      </c>
      <c r="JY40" s="13" t="s">
        <v>30</v>
      </c>
      <c r="JZ40" s="14">
        <v>639895.80000000005</v>
      </c>
      <c r="KA40" s="13" t="s">
        <v>30</v>
      </c>
      <c r="KB40" s="14">
        <v>705332.6</v>
      </c>
      <c r="KC40" s="13" t="s">
        <v>30</v>
      </c>
      <c r="KD40" s="14">
        <v>689278.9</v>
      </c>
      <c r="KE40" s="13" t="s">
        <v>30</v>
      </c>
      <c r="KF40" s="14">
        <v>656220.69999999995</v>
      </c>
      <c r="KG40" s="13" t="s">
        <v>30</v>
      </c>
      <c r="KH40" s="14">
        <v>666940.30000000005</v>
      </c>
      <c r="KI40" s="13" t="s">
        <v>30</v>
      </c>
      <c r="KJ40" s="14">
        <v>713062.3</v>
      </c>
      <c r="KK40" s="13" t="s">
        <v>30</v>
      </c>
      <c r="KL40" s="15">
        <v>713286</v>
      </c>
      <c r="KM40" s="13" t="s">
        <v>30</v>
      </c>
      <c r="KN40" s="14">
        <v>687471.2</v>
      </c>
      <c r="KO40" s="13" t="s">
        <v>30</v>
      </c>
      <c r="KP40" s="14">
        <v>671589.8</v>
      </c>
      <c r="KQ40" s="13" t="s">
        <v>30</v>
      </c>
      <c r="KR40" s="15">
        <v>724897</v>
      </c>
      <c r="KS40" s="13" t="s">
        <v>30</v>
      </c>
      <c r="KT40" s="14">
        <v>690374.3</v>
      </c>
      <c r="KU40" s="13" t="s">
        <v>30</v>
      </c>
      <c r="KV40" s="14">
        <v>704410.1</v>
      </c>
      <c r="KW40" s="13" t="s">
        <v>30</v>
      </c>
      <c r="KX40" s="14">
        <v>693030.8</v>
      </c>
      <c r="KY40" s="13" t="s">
        <v>30</v>
      </c>
      <c r="KZ40" s="14">
        <v>735912.1</v>
      </c>
      <c r="LA40" s="13" t="s">
        <v>30</v>
      </c>
      <c r="LB40" s="14">
        <v>716424.4</v>
      </c>
      <c r="LC40" s="13" t="s">
        <v>30</v>
      </c>
      <c r="LD40" s="14">
        <v>703589.8</v>
      </c>
      <c r="LE40" s="13" t="s">
        <v>30</v>
      </c>
      <c r="LF40" s="14">
        <v>706805.8</v>
      </c>
      <c r="LG40" s="13" t="s">
        <v>30</v>
      </c>
      <c r="LH40" s="14">
        <v>754903.4</v>
      </c>
      <c r="LI40" s="13" t="s">
        <v>30</v>
      </c>
      <c r="LJ40" s="14">
        <v>727570.8</v>
      </c>
      <c r="LK40" s="13" t="s">
        <v>30</v>
      </c>
      <c r="LL40" s="14">
        <v>721355.8</v>
      </c>
      <c r="LM40" s="13" t="s">
        <v>30</v>
      </c>
      <c r="LN40" s="14">
        <v>727044.9</v>
      </c>
      <c r="LO40" s="13" t="s">
        <v>30</v>
      </c>
      <c r="LP40" s="14">
        <v>757885.2</v>
      </c>
      <c r="LQ40" s="13" t="s">
        <v>30</v>
      </c>
      <c r="LR40" s="14">
        <v>732891.9</v>
      </c>
      <c r="LS40" s="13" t="s">
        <v>30</v>
      </c>
      <c r="LT40" s="14">
        <v>739674.4</v>
      </c>
      <c r="LU40" s="13" t="s">
        <v>30</v>
      </c>
      <c r="LV40" s="15">
        <v>717171</v>
      </c>
      <c r="LW40" s="13" t="s">
        <v>30</v>
      </c>
      <c r="LX40" s="14">
        <v>774550.9</v>
      </c>
      <c r="LY40" s="13" t="s">
        <v>30</v>
      </c>
      <c r="LZ40" s="14">
        <v>769539.6</v>
      </c>
      <c r="MA40" s="13" t="s">
        <v>30</v>
      </c>
      <c r="MB40" s="14">
        <v>737636.8</v>
      </c>
      <c r="MC40" s="13" t="s">
        <v>30</v>
      </c>
      <c r="MD40" s="14">
        <v>741236.2</v>
      </c>
      <c r="ME40" s="13" t="s">
        <v>30</v>
      </c>
      <c r="MF40" s="14">
        <v>787379.3</v>
      </c>
      <c r="MG40" s="13" t="s">
        <v>30</v>
      </c>
      <c r="MH40" s="15">
        <v>762399</v>
      </c>
      <c r="MI40" s="13" t="s">
        <v>30</v>
      </c>
      <c r="MJ40" s="14">
        <v>755933.7</v>
      </c>
      <c r="MK40" s="13" t="s">
        <v>30</v>
      </c>
      <c r="ML40" s="14">
        <v>744262.6</v>
      </c>
      <c r="MM40" s="13" t="s">
        <v>30</v>
      </c>
      <c r="MN40" s="14">
        <v>795727.3</v>
      </c>
      <c r="MO40" s="13" t="s">
        <v>30</v>
      </c>
      <c r="MP40" s="14">
        <v>775308.6</v>
      </c>
      <c r="MQ40" s="13" t="s">
        <v>30</v>
      </c>
      <c r="MR40" s="14">
        <v>750862.9</v>
      </c>
      <c r="MS40" s="13" t="s">
        <v>30</v>
      </c>
      <c r="MT40" s="14">
        <v>757519.7</v>
      </c>
      <c r="MU40" s="13" t="s">
        <v>30</v>
      </c>
      <c r="MV40" s="14">
        <v>812404.2</v>
      </c>
      <c r="MW40" s="13" t="s">
        <v>30</v>
      </c>
      <c r="MX40" s="14">
        <v>792285.9</v>
      </c>
      <c r="MY40" s="13" t="s">
        <v>30</v>
      </c>
      <c r="MZ40" s="14">
        <v>721606.1</v>
      </c>
      <c r="NA40" s="13" t="s">
        <v>30</v>
      </c>
      <c r="NB40" s="14">
        <v>746267.9</v>
      </c>
      <c r="NC40" s="13" t="s">
        <v>30</v>
      </c>
      <c r="ND40" s="14">
        <v>797491.1</v>
      </c>
      <c r="NE40" s="13" t="s">
        <v>30</v>
      </c>
      <c r="NF40" s="14">
        <v>793956.7</v>
      </c>
      <c r="NG40" s="13" t="s">
        <v>30</v>
      </c>
      <c r="NH40" s="14">
        <v>751768.7</v>
      </c>
      <c r="NI40" s="13" t="s">
        <v>30</v>
      </c>
      <c r="NJ40" s="14">
        <v>783365.4</v>
      </c>
      <c r="NK40" s="13" t="s">
        <v>30</v>
      </c>
      <c r="NL40" s="14">
        <v>845362.6</v>
      </c>
      <c r="NM40" s="13" t="s">
        <v>30</v>
      </c>
      <c r="NN40" s="14">
        <v>826742.9</v>
      </c>
      <c r="NO40" s="13" t="s">
        <v>30</v>
      </c>
      <c r="NP40" s="15">
        <v>787632</v>
      </c>
      <c r="NQ40" s="13" t="s">
        <v>30</v>
      </c>
      <c r="NR40" s="14">
        <v>811502.8</v>
      </c>
      <c r="NS40" s="13" t="s">
        <v>30</v>
      </c>
      <c r="NT40" s="14">
        <v>862473.1</v>
      </c>
      <c r="NU40" s="13" t="s">
        <v>30</v>
      </c>
      <c r="NV40" s="14">
        <v>852610.4</v>
      </c>
      <c r="NW40" s="13" t="s">
        <v>30</v>
      </c>
      <c r="NX40" s="14">
        <v>786925.2</v>
      </c>
      <c r="NY40" s="13" t="s">
        <v>30</v>
      </c>
      <c r="NZ40" s="15">
        <v>785385</v>
      </c>
      <c r="OA40" s="13" t="s">
        <v>30</v>
      </c>
      <c r="OB40" s="14">
        <v>872029.2</v>
      </c>
      <c r="OC40" s="13" t="s">
        <v>30</v>
      </c>
      <c r="OD40" s="14">
        <v>855860.4</v>
      </c>
      <c r="OE40" s="13" t="s">
        <v>30</v>
      </c>
      <c r="OF40" s="14">
        <v>831939.5</v>
      </c>
      <c r="OG40" s="13" t="s">
        <v>30</v>
      </c>
      <c r="OH40" s="14">
        <v>816933.5</v>
      </c>
      <c r="OI40" s="13" t="s">
        <v>30</v>
      </c>
      <c r="OJ40" s="14">
        <v>870007.1</v>
      </c>
      <c r="OK40" s="13" t="s">
        <v>30</v>
      </c>
      <c r="OL40" s="14">
        <v>852344.6</v>
      </c>
      <c r="OM40" s="13" t="s">
        <v>30</v>
      </c>
      <c r="ON40" s="14">
        <v>812633.4</v>
      </c>
      <c r="OO40" s="13" t="s">
        <v>30</v>
      </c>
      <c r="OP40" s="13" t="s">
        <v>235</v>
      </c>
      <c r="OQ40" s="13" t="s">
        <v>30</v>
      </c>
    </row>
    <row r="41" spans="1:407" x14ac:dyDescent="0.3">
      <c r="A41" s="12" t="s">
        <v>266</v>
      </c>
      <c r="B41" s="16" t="s">
        <v>235</v>
      </c>
      <c r="C41" s="16" t="s">
        <v>30</v>
      </c>
      <c r="D41" s="16" t="s">
        <v>235</v>
      </c>
      <c r="E41" s="16" t="s">
        <v>30</v>
      </c>
      <c r="F41" s="16" t="s">
        <v>235</v>
      </c>
      <c r="G41" s="16" t="s">
        <v>30</v>
      </c>
      <c r="H41" s="16" t="s">
        <v>235</v>
      </c>
      <c r="I41" s="16" t="s">
        <v>30</v>
      </c>
      <c r="J41" s="16" t="s">
        <v>235</v>
      </c>
      <c r="K41" s="16" t="s">
        <v>30</v>
      </c>
      <c r="L41" s="16" t="s">
        <v>235</v>
      </c>
      <c r="M41" s="16" t="s">
        <v>30</v>
      </c>
      <c r="N41" s="16" t="s">
        <v>235</v>
      </c>
      <c r="O41" s="16" t="s">
        <v>30</v>
      </c>
      <c r="P41" s="16" t="s">
        <v>235</v>
      </c>
      <c r="Q41" s="16" t="s">
        <v>30</v>
      </c>
      <c r="R41" s="16" t="s">
        <v>235</v>
      </c>
      <c r="S41" s="16" t="s">
        <v>30</v>
      </c>
      <c r="T41" s="16" t="s">
        <v>235</v>
      </c>
      <c r="U41" s="16" t="s">
        <v>30</v>
      </c>
      <c r="V41" s="16" t="s">
        <v>235</v>
      </c>
      <c r="W41" s="16" t="s">
        <v>30</v>
      </c>
      <c r="X41" s="16" t="s">
        <v>235</v>
      </c>
      <c r="Y41" s="16" t="s">
        <v>30</v>
      </c>
      <c r="Z41" s="16" t="s">
        <v>235</v>
      </c>
      <c r="AA41" s="16" t="s">
        <v>30</v>
      </c>
      <c r="AB41" s="16" t="s">
        <v>235</v>
      </c>
      <c r="AC41" s="16" t="s">
        <v>30</v>
      </c>
      <c r="AD41" s="16" t="s">
        <v>235</v>
      </c>
      <c r="AE41" s="16" t="s">
        <v>30</v>
      </c>
      <c r="AF41" s="16" t="s">
        <v>235</v>
      </c>
      <c r="AG41" s="16" t="s">
        <v>30</v>
      </c>
      <c r="AH41" s="16" t="s">
        <v>235</v>
      </c>
      <c r="AI41" s="16" t="s">
        <v>30</v>
      </c>
      <c r="AJ41" s="16" t="s">
        <v>235</v>
      </c>
      <c r="AK41" s="16" t="s">
        <v>30</v>
      </c>
      <c r="AL41" s="16" t="s">
        <v>235</v>
      </c>
      <c r="AM41" s="16" t="s">
        <v>30</v>
      </c>
      <c r="AN41" s="16" t="s">
        <v>235</v>
      </c>
      <c r="AO41" s="16" t="s">
        <v>30</v>
      </c>
      <c r="AP41" s="16" t="s">
        <v>235</v>
      </c>
      <c r="AQ41" s="16" t="s">
        <v>30</v>
      </c>
      <c r="AR41" s="16" t="s">
        <v>235</v>
      </c>
      <c r="AS41" s="16" t="s">
        <v>30</v>
      </c>
      <c r="AT41" s="16" t="s">
        <v>235</v>
      </c>
      <c r="AU41" s="16" t="s">
        <v>30</v>
      </c>
      <c r="AV41" s="16" t="s">
        <v>235</v>
      </c>
      <c r="AW41" s="16" t="s">
        <v>30</v>
      </c>
      <c r="AX41" s="16" t="s">
        <v>235</v>
      </c>
      <c r="AY41" s="16" t="s">
        <v>30</v>
      </c>
      <c r="AZ41" s="16" t="s">
        <v>235</v>
      </c>
      <c r="BA41" s="16" t="s">
        <v>30</v>
      </c>
      <c r="BB41" s="16" t="s">
        <v>235</v>
      </c>
      <c r="BC41" s="16" t="s">
        <v>30</v>
      </c>
      <c r="BD41" s="16" t="s">
        <v>235</v>
      </c>
      <c r="BE41" s="16" t="s">
        <v>30</v>
      </c>
      <c r="BF41" s="16" t="s">
        <v>235</v>
      </c>
      <c r="BG41" s="16" t="s">
        <v>30</v>
      </c>
      <c r="BH41" s="16" t="s">
        <v>235</v>
      </c>
      <c r="BI41" s="16" t="s">
        <v>30</v>
      </c>
      <c r="BJ41" s="16" t="s">
        <v>235</v>
      </c>
      <c r="BK41" s="16" t="s">
        <v>30</v>
      </c>
      <c r="BL41" s="16" t="s">
        <v>235</v>
      </c>
      <c r="BM41" s="16" t="s">
        <v>30</v>
      </c>
      <c r="BN41" s="16" t="s">
        <v>235</v>
      </c>
      <c r="BO41" s="16" t="s">
        <v>30</v>
      </c>
      <c r="BP41" s="16" t="s">
        <v>235</v>
      </c>
      <c r="BQ41" s="16" t="s">
        <v>30</v>
      </c>
      <c r="BR41" s="16" t="s">
        <v>235</v>
      </c>
      <c r="BS41" s="16" t="s">
        <v>30</v>
      </c>
      <c r="BT41" s="16" t="s">
        <v>235</v>
      </c>
      <c r="BU41" s="16" t="s">
        <v>30</v>
      </c>
      <c r="BV41" s="16" t="s">
        <v>235</v>
      </c>
      <c r="BW41" s="16" t="s">
        <v>30</v>
      </c>
      <c r="BX41" s="16" t="s">
        <v>235</v>
      </c>
      <c r="BY41" s="16" t="s">
        <v>30</v>
      </c>
      <c r="BZ41" s="16" t="s">
        <v>235</v>
      </c>
      <c r="CA41" s="16" t="s">
        <v>30</v>
      </c>
      <c r="CB41" s="16" t="s">
        <v>235</v>
      </c>
      <c r="CC41" s="16" t="s">
        <v>30</v>
      </c>
      <c r="CD41" s="16" t="s">
        <v>235</v>
      </c>
      <c r="CE41" s="16" t="s">
        <v>30</v>
      </c>
      <c r="CF41" s="16" t="s">
        <v>235</v>
      </c>
      <c r="CG41" s="16" t="s">
        <v>30</v>
      </c>
      <c r="CH41" s="16" t="s">
        <v>235</v>
      </c>
      <c r="CI41" s="16" t="s">
        <v>30</v>
      </c>
      <c r="CJ41" s="16" t="s">
        <v>235</v>
      </c>
      <c r="CK41" s="16" t="s">
        <v>30</v>
      </c>
      <c r="CL41" s="16" t="s">
        <v>235</v>
      </c>
      <c r="CM41" s="16" t="s">
        <v>30</v>
      </c>
      <c r="CN41" s="16" t="s">
        <v>235</v>
      </c>
      <c r="CO41" s="16" t="s">
        <v>30</v>
      </c>
      <c r="CP41" s="16" t="s">
        <v>235</v>
      </c>
      <c r="CQ41" s="16" t="s">
        <v>30</v>
      </c>
      <c r="CR41" s="16" t="s">
        <v>235</v>
      </c>
      <c r="CS41" s="16" t="s">
        <v>30</v>
      </c>
      <c r="CT41" s="16" t="s">
        <v>235</v>
      </c>
      <c r="CU41" s="16" t="s">
        <v>30</v>
      </c>
      <c r="CV41" s="16" t="s">
        <v>235</v>
      </c>
      <c r="CW41" s="16" t="s">
        <v>30</v>
      </c>
      <c r="CX41" s="16" t="s">
        <v>235</v>
      </c>
      <c r="CY41" s="16" t="s">
        <v>30</v>
      </c>
      <c r="CZ41" s="16" t="s">
        <v>235</v>
      </c>
      <c r="DA41" s="16" t="s">
        <v>30</v>
      </c>
      <c r="DB41" s="16" t="s">
        <v>235</v>
      </c>
      <c r="DC41" s="16" t="s">
        <v>30</v>
      </c>
      <c r="DD41" s="16" t="s">
        <v>235</v>
      </c>
      <c r="DE41" s="16" t="s">
        <v>30</v>
      </c>
      <c r="DF41" s="16" t="s">
        <v>235</v>
      </c>
      <c r="DG41" s="16" t="s">
        <v>30</v>
      </c>
      <c r="DH41" s="16" t="s">
        <v>235</v>
      </c>
      <c r="DI41" s="16" t="s">
        <v>30</v>
      </c>
      <c r="DJ41" s="16" t="s">
        <v>235</v>
      </c>
      <c r="DK41" s="16" t="s">
        <v>30</v>
      </c>
      <c r="DL41" s="16" t="s">
        <v>235</v>
      </c>
      <c r="DM41" s="16" t="s">
        <v>30</v>
      </c>
      <c r="DN41" s="16" t="s">
        <v>235</v>
      </c>
      <c r="DO41" s="16" t="s">
        <v>30</v>
      </c>
      <c r="DP41" s="16" t="s">
        <v>235</v>
      </c>
      <c r="DQ41" s="16" t="s">
        <v>30</v>
      </c>
      <c r="DR41" s="16" t="s">
        <v>235</v>
      </c>
      <c r="DS41" s="16" t="s">
        <v>30</v>
      </c>
      <c r="DT41" s="16" t="s">
        <v>235</v>
      </c>
      <c r="DU41" s="16" t="s">
        <v>30</v>
      </c>
      <c r="DV41" s="16" t="s">
        <v>235</v>
      </c>
      <c r="DW41" s="16" t="s">
        <v>30</v>
      </c>
      <c r="DX41" s="16" t="s">
        <v>235</v>
      </c>
      <c r="DY41" s="16" t="s">
        <v>30</v>
      </c>
      <c r="DZ41" s="16" t="s">
        <v>235</v>
      </c>
      <c r="EA41" s="16" t="s">
        <v>30</v>
      </c>
      <c r="EB41" s="16" t="s">
        <v>235</v>
      </c>
      <c r="EC41" s="16" t="s">
        <v>30</v>
      </c>
      <c r="ED41" s="16" t="s">
        <v>235</v>
      </c>
      <c r="EE41" s="16" t="s">
        <v>30</v>
      </c>
      <c r="EF41" s="16" t="s">
        <v>235</v>
      </c>
      <c r="EG41" s="16" t="s">
        <v>30</v>
      </c>
      <c r="EH41" s="16" t="s">
        <v>235</v>
      </c>
      <c r="EI41" s="16" t="s">
        <v>30</v>
      </c>
      <c r="EJ41" s="16" t="s">
        <v>235</v>
      </c>
      <c r="EK41" s="16" t="s">
        <v>30</v>
      </c>
      <c r="EL41" s="16" t="s">
        <v>235</v>
      </c>
      <c r="EM41" s="16" t="s">
        <v>30</v>
      </c>
      <c r="EN41" s="16" t="s">
        <v>235</v>
      </c>
      <c r="EO41" s="16" t="s">
        <v>30</v>
      </c>
      <c r="EP41" s="16" t="s">
        <v>235</v>
      </c>
      <c r="EQ41" s="16" t="s">
        <v>30</v>
      </c>
      <c r="ER41" s="16" t="s">
        <v>235</v>
      </c>
      <c r="ES41" s="16" t="s">
        <v>30</v>
      </c>
      <c r="ET41" s="16" t="s">
        <v>235</v>
      </c>
      <c r="EU41" s="16" t="s">
        <v>30</v>
      </c>
      <c r="EV41" s="16" t="s">
        <v>235</v>
      </c>
      <c r="EW41" s="16" t="s">
        <v>30</v>
      </c>
      <c r="EX41" s="16" t="s">
        <v>235</v>
      </c>
      <c r="EY41" s="16" t="s">
        <v>30</v>
      </c>
      <c r="EZ41" s="16" t="s">
        <v>235</v>
      </c>
      <c r="FA41" s="16" t="s">
        <v>30</v>
      </c>
      <c r="FB41" s="16" t="s">
        <v>235</v>
      </c>
      <c r="FC41" s="16" t="s">
        <v>30</v>
      </c>
      <c r="FD41" s="16" t="s">
        <v>235</v>
      </c>
      <c r="FE41" s="16" t="s">
        <v>30</v>
      </c>
      <c r="FF41" s="17">
        <v>110663.5</v>
      </c>
      <c r="FG41" s="16" t="s">
        <v>30</v>
      </c>
      <c r="FH41" s="18">
        <v>112223</v>
      </c>
      <c r="FI41" s="16" t="s">
        <v>30</v>
      </c>
      <c r="FJ41" s="17">
        <v>112432.5</v>
      </c>
      <c r="FK41" s="16" t="s">
        <v>30</v>
      </c>
      <c r="FL41" s="17">
        <v>115711.3</v>
      </c>
      <c r="FM41" s="16" t="s">
        <v>30</v>
      </c>
      <c r="FN41" s="17">
        <v>112051.1</v>
      </c>
      <c r="FO41" s="16" t="s">
        <v>30</v>
      </c>
      <c r="FP41" s="17">
        <v>112800.7</v>
      </c>
      <c r="FQ41" s="16" t="s">
        <v>30</v>
      </c>
      <c r="FR41" s="17">
        <v>112120.2</v>
      </c>
      <c r="FS41" s="16" t="s">
        <v>30</v>
      </c>
      <c r="FT41" s="18">
        <v>116094</v>
      </c>
      <c r="FU41" s="16" t="s">
        <v>30</v>
      </c>
      <c r="FV41" s="17">
        <v>111507.3</v>
      </c>
      <c r="FW41" s="16" t="s">
        <v>30</v>
      </c>
      <c r="FX41" s="17">
        <v>114500.3</v>
      </c>
      <c r="FY41" s="16" t="s">
        <v>30</v>
      </c>
      <c r="FZ41" s="17">
        <v>115267.5</v>
      </c>
      <c r="GA41" s="16" t="s">
        <v>30</v>
      </c>
      <c r="GB41" s="17">
        <v>120066.9</v>
      </c>
      <c r="GC41" s="16" t="s">
        <v>30</v>
      </c>
      <c r="GD41" s="17">
        <v>116011.1</v>
      </c>
      <c r="GE41" s="16" t="s">
        <v>30</v>
      </c>
      <c r="GF41" s="17">
        <v>118831.6</v>
      </c>
      <c r="GG41" s="16" t="s">
        <v>30</v>
      </c>
      <c r="GH41" s="17">
        <v>118055.1</v>
      </c>
      <c r="GI41" s="16" t="s">
        <v>30</v>
      </c>
      <c r="GJ41" s="17">
        <v>121554.2</v>
      </c>
      <c r="GK41" s="16" t="s">
        <v>30</v>
      </c>
      <c r="GL41" s="17">
        <v>116712.5</v>
      </c>
      <c r="GM41" s="16" t="s">
        <v>30</v>
      </c>
      <c r="GN41" s="17">
        <v>118527.2</v>
      </c>
      <c r="GO41" s="16" t="s">
        <v>30</v>
      </c>
      <c r="GP41" s="18">
        <v>118629</v>
      </c>
      <c r="GQ41" s="16" t="s">
        <v>30</v>
      </c>
      <c r="GR41" s="17">
        <v>126000.6</v>
      </c>
      <c r="GS41" s="16" t="s">
        <v>30</v>
      </c>
      <c r="GT41" s="17">
        <v>121375.5</v>
      </c>
      <c r="GU41" s="16" t="s">
        <v>30</v>
      </c>
      <c r="GV41" s="17">
        <v>122575.2</v>
      </c>
      <c r="GW41" s="16" t="s">
        <v>30</v>
      </c>
      <c r="GX41" s="17">
        <v>122911.3</v>
      </c>
      <c r="GY41" s="16" t="s">
        <v>30</v>
      </c>
      <c r="GZ41" s="17">
        <v>129094.7</v>
      </c>
      <c r="HA41" s="16" t="s">
        <v>30</v>
      </c>
      <c r="HB41" s="17">
        <v>124193.9</v>
      </c>
      <c r="HC41" s="16" t="s">
        <v>30</v>
      </c>
      <c r="HD41" s="17">
        <v>125888.1</v>
      </c>
      <c r="HE41" s="16" t="s">
        <v>30</v>
      </c>
      <c r="HF41" s="17">
        <v>125252.1</v>
      </c>
      <c r="HG41" s="16" t="s">
        <v>30</v>
      </c>
      <c r="HH41" s="17">
        <v>129612.9</v>
      </c>
      <c r="HI41" s="16" t="s">
        <v>30</v>
      </c>
      <c r="HJ41" s="17">
        <v>124723.4</v>
      </c>
      <c r="HK41" s="16" t="s">
        <v>30</v>
      </c>
      <c r="HL41" s="17">
        <v>126921.4</v>
      </c>
      <c r="HM41" s="16" t="s">
        <v>30</v>
      </c>
      <c r="HN41" s="17">
        <v>126403.4</v>
      </c>
      <c r="HO41" s="16" t="s">
        <v>30</v>
      </c>
      <c r="HP41" s="17">
        <v>129532.1</v>
      </c>
      <c r="HQ41" s="16" t="s">
        <v>30</v>
      </c>
      <c r="HR41" s="17">
        <v>124211.5</v>
      </c>
      <c r="HS41" s="16" t="s">
        <v>30</v>
      </c>
      <c r="HT41" s="17">
        <v>125089.7</v>
      </c>
      <c r="HU41" s="16" t="s">
        <v>30</v>
      </c>
      <c r="HV41" s="17">
        <v>125725.1</v>
      </c>
      <c r="HW41" s="16" t="s">
        <v>30</v>
      </c>
      <c r="HX41" s="17">
        <v>131013.2</v>
      </c>
      <c r="HY41" s="16" t="s">
        <v>30</v>
      </c>
      <c r="HZ41" s="17">
        <v>127337.9</v>
      </c>
      <c r="IA41" s="16" t="s">
        <v>30</v>
      </c>
      <c r="IB41" s="17">
        <v>129214.7</v>
      </c>
      <c r="IC41" s="16" t="s">
        <v>30</v>
      </c>
      <c r="ID41" s="17">
        <v>128769.7</v>
      </c>
      <c r="IE41" s="16" t="s">
        <v>30</v>
      </c>
      <c r="IF41" s="17">
        <v>133100.1</v>
      </c>
      <c r="IG41" s="16" t="s">
        <v>30</v>
      </c>
      <c r="IH41" s="17">
        <v>129457.3</v>
      </c>
      <c r="II41" s="16" t="s">
        <v>30</v>
      </c>
      <c r="IJ41" s="17">
        <v>132775.29999999999</v>
      </c>
      <c r="IK41" s="16" t="s">
        <v>30</v>
      </c>
      <c r="IL41" s="17">
        <v>133200.6</v>
      </c>
      <c r="IM41" s="16" t="s">
        <v>30</v>
      </c>
      <c r="IN41" s="17">
        <v>138207.79999999999</v>
      </c>
      <c r="IO41" s="16" t="s">
        <v>30</v>
      </c>
      <c r="IP41" s="17">
        <v>135458.70000000001</v>
      </c>
      <c r="IQ41" s="16" t="s">
        <v>30</v>
      </c>
      <c r="IR41" s="17">
        <v>137629.79999999999</v>
      </c>
      <c r="IS41" s="16" t="s">
        <v>30</v>
      </c>
      <c r="IT41" s="17">
        <v>138262.29999999999</v>
      </c>
      <c r="IU41" s="16" t="s">
        <v>30</v>
      </c>
      <c r="IV41" s="18">
        <v>143682</v>
      </c>
      <c r="IW41" s="16" t="s">
        <v>30</v>
      </c>
      <c r="IX41" s="17">
        <v>140101.1</v>
      </c>
      <c r="IY41" s="16" t="s">
        <v>30</v>
      </c>
      <c r="IZ41" s="17">
        <v>143504.20000000001</v>
      </c>
      <c r="JA41" s="16" t="s">
        <v>30</v>
      </c>
      <c r="JB41" s="17">
        <v>144288.5</v>
      </c>
      <c r="JC41" s="16" t="s">
        <v>30</v>
      </c>
      <c r="JD41" s="17">
        <v>148702.9</v>
      </c>
      <c r="JE41" s="16" t="s">
        <v>30</v>
      </c>
      <c r="JF41" s="17">
        <v>144593.20000000001</v>
      </c>
      <c r="JG41" s="16" t="s">
        <v>30</v>
      </c>
      <c r="JH41" s="17">
        <v>148655.4</v>
      </c>
      <c r="JI41" s="16" t="s">
        <v>30</v>
      </c>
      <c r="JJ41" s="17">
        <v>149046.79999999999</v>
      </c>
      <c r="JK41" s="16" t="s">
        <v>30</v>
      </c>
      <c r="JL41" s="17">
        <v>149082.9</v>
      </c>
      <c r="JM41" s="16" t="s">
        <v>30</v>
      </c>
      <c r="JN41" s="17">
        <v>141644.70000000001</v>
      </c>
      <c r="JO41" s="16" t="s">
        <v>30</v>
      </c>
      <c r="JP41" s="17">
        <v>143796.5</v>
      </c>
      <c r="JQ41" s="16" t="s">
        <v>30</v>
      </c>
      <c r="JR41" s="17">
        <v>145244.4</v>
      </c>
      <c r="JS41" s="16" t="s">
        <v>30</v>
      </c>
      <c r="JT41" s="17">
        <v>149319.79999999999</v>
      </c>
      <c r="JU41" s="16" t="s">
        <v>30</v>
      </c>
      <c r="JV41" s="17">
        <v>145924.5</v>
      </c>
      <c r="JW41" s="16" t="s">
        <v>30</v>
      </c>
      <c r="JX41" s="17">
        <v>148930.70000000001</v>
      </c>
      <c r="JY41" s="16" t="s">
        <v>30</v>
      </c>
      <c r="JZ41" s="18">
        <v>149427</v>
      </c>
      <c r="KA41" s="16" t="s">
        <v>30</v>
      </c>
      <c r="KB41" s="17">
        <v>154147.70000000001</v>
      </c>
      <c r="KC41" s="16" t="s">
        <v>30</v>
      </c>
      <c r="KD41" s="17">
        <v>149398.79999999999</v>
      </c>
      <c r="KE41" s="16" t="s">
        <v>30</v>
      </c>
      <c r="KF41" s="17">
        <v>152216.5</v>
      </c>
      <c r="KG41" s="16" t="s">
        <v>30</v>
      </c>
      <c r="KH41" s="17">
        <v>151008.79999999999</v>
      </c>
      <c r="KI41" s="16" t="s">
        <v>30</v>
      </c>
      <c r="KJ41" s="18">
        <v>155126</v>
      </c>
      <c r="KK41" s="16" t="s">
        <v>30</v>
      </c>
      <c r="KL41" s="17">
        <v>150921.5</v>
      </c>
      <c r="KM41" s="16" t="s">
        <v>30</v>
      </c>
      <c r="KN41" s="17">
        <v>153053.29999999999</v>
      </c>
      <c r="KO41" s="16" t="s">
        <v>30</v>
      </c>
      <c r="KP41" s="17">
        <v>153590.1</v>
      </c>
      <c r="KQ41" s="16" t="s">
        <v>30</v>
      </c>
      <c r="KR41" s="17">
        <v>157754.20000000001</v>
      </c>
      <c r="KS41" s="16" t="s">
        <v>30</v>
      </c>
      <c r="KT41" s="18">
        <v>152745</v>
      </c>
      <c r="KU41" s="16" t="s">
        <v>30</v>
      </c>
      <c r="KV41" s="18">
        <v>156339</v>
      </c>
      <c r="KW41" s="16" t="s">
        <v>30</v>
      </c>
      <c r="KX41" s="17">
        <v>156786.6</v>
      </c>
      <c r="KY41" s="16" t="s">
        <v>30</v>
      </c>
      <c r="KZ41" s="17">
        <v>161016.4</v>
      </c>
      <c r="LA41" s="16" t="s">
        <v>30</v>
      </c>
      <c r="LB41" s="17">
        <v>156582.9</v>
      </c>
      <c r="LC41" s="16" t="s">
        <v>30</v>
      </c>
      <c r="LD41" s="17">
        <v>160012.29999999999</v>
      </c>
      <c r="LE41" s="16" t="s">
        <v>30</v>
      </c>
      <c r="LF41" s="18">
        <v>160497</v>
      </c>
      <c r="LG41" s="16" t="s">
        <v>30</v>
      </c>
      <c r="LH41" s="17">
        <v>165804.79999999999</v>
      </c>
      <c r="LI41" s="16" t="s">
        <v>30</v>
      </c>
      <c r="LJ41" s="17">
        <v>159490.5</v>
      </c>
      <c r="LK41" s="16" t="s">
        <v>30</v>
      </c>
      <c r="LL41" s="17">
        <v>162009.9</v>
      </c>
      <c r="LM41" s="16" t="s">
        <v>30</v>
      </c>
      <c r="LN41" s="17">
        <v>162624.6</v>
      </c>
      <c r="LO41" s="16" t="s">
        <v>30</v>
      </c>
      <c r="LP41" s="17">
        <v>168195.5</v>
      </c>
      <c r="LQ41" s="16" t="s">
        <v>30</v>
      </c>
      <c r="LR41" s="18">
        <v>163028</v>
      </c>
      <c r="LS41" s="16" t="s">
        <v>30</v>
      </c>
      <c r="LT41" s="17">
        <v>166357.9</v>
      </c>
      <c r="LU41" s="16" t="s">
        <v>30</v>
      </c>
      <c r="LV41" s="17">
        <v>165739.79999999999</v>
      </c>
      <c r="LW41" s="16" t="s">
        <v>30</v>
      </c>
      <c r="LX41" s="17">
        <v>169494.2</v>
      </c>
      <c r="LY41" s="16" t="s">
        <v>30</v>
      </c>
      <c r="LZ41" s="17">
        <v>164684.5</v>
      </c>
      <c r="MA41" s="16" t="s">
        <v>30</v>
      </c>
      <c r="MB41" s="17">
        <v>167421.1</v>
      </c>
      <c r="MC41" s="16" t="s">
        <v>30</v>
      </c>
      <c r="MD41" s="17">
        <v>167973.6</v>
      </c>
      <c r="ME41" s="16" t="s">
        <v>30</v>
      </c>
      <c r="MF41" s="17">
        <v>173934.5</v>
      </c>
      <c r="MG41" s="16" t="s">
        <v>30</v>
      </c>
      <c r="MH41" s="17">
        <v>170864.6</v>
      </c>
      <c r="MI41" s="16" t="s">
        <v>30</v>
      </c>
      <c r="MJ41" s="18">
        <v>175199</v>
      </c>
      <c r="MK41" s="16" t="s">
        <v>30</v>
      </c>
      <c r="ML41" s="17">
        <v>173304.5</v>
      </c>
      <c r="MM41" s="16" t="s">
        <v>30</v>
      </c>
      <c r="MN41" s="17">
        <v>178368.3</v>
      </c>
      <c r="MO41" s="16" t="s">
        <v>30</v>
      </c>
      <c r="MP41" s="17">
        <v>173075.8</v>
      </c>
      <c r="MQ41" s="16" t="s">
        <v>30</v>
      </c>
      <c r="MR41" s="17">
        <v>176033.1</v>
      </c>
      <c r="MS41" s="16" t="s">
        <v>30</v>
      </c>
      <c r="MT41" s="17">
        <v>176040.8</v>
      </c>
      <c r="MU41" s="16" t="s">
        <v>30</v>
      </c>
      <c r="MV41" s="17">
        <v>180779.6</v>
      </c>
      <c r="MW41" s="16" t="s">
        <v>30</v>
      </c>
      <c r="MX41" s="17">
        <v>173227.7</v>
      </c>
      <c r="MY41" s="16" t="s">
        <v>30</v>
      </c>
      <c r="MZ41" s="17">
        <v>164073.9</v>
      </c>
      <c r="NA41" s="16" t="s">
        <v>30</v>
      </c>
      <c r="NB41" s="17">
        <v>173738.8</v>
      </c>
      <c r="NC41" s="16" t="s">
        <v>30</v>
      </c>
      <c r="ND41" s="17">
        <v>179763.8</v>
      </c>
      <c r="NE41" s="16" t="s">
        <v>30</v>
      </c>
      <c r="NF41" s="17">
        <v>175176.8</v>
      </c>
      <c r="NG41" s="16" t="s">
        <v>30</v>
      </c>
      <c r="NH41" s="17">
        <v>182243.8</v>
      </c>
      <c r="NI41" s="16" t="s">
        <v>30</v>
      </c>
      <c r="NJ41" s="17">
        <v>185395.8</v>
      </c>
      <c r="NK41" s="16" t="s">
        <v>30</v>
      </c>
      <c r="NL41" s="17">
        <v>190818.9</v>
      </c>
      <c r="NM41" s="16" t="s">
        <v>30</v>
      </c>
      <c r="NN41" s="17">
        <v>186166.7</v>
      </c>
      <c r="NO41" s="16" t="s">
        <v>30</v>
      </c>
      <c r="NP41" s="17">
        <v>189527.5</v>
      </c>
      <c r="NQ41" s="16" t="s">
        <v>30</v>
      </c>
      <c r="NR41" s="17">
        <v>189650.4</v>
      </c>
      <c r="NS41" s="16" t="s">
        <v>30</v>
      </c>
      <c r="NT41" s="17">
        <v>194184.6</v>
      </c>
      <c r="NU41" s="16" t="s">
        <v>30</v>
      </c>
      <c r="NV41" s="17">
        <v>189641.7</v>
      </c>
      <c r="NW41" s="16" t="s">
        <v>30</v>
      </c>
      <c r="NX41" s="17">
        <v>190786.2</v>
      </c>
      <c r="NY41" s="16" t="s">
        <v>30</v>
      </c>
      <c r="NZ41" s="17">
        <v>190461.4</v>
      </c>
      <c r="OA41" s="16" t="s">
        <v>30</v>
      </c>
      <c r="OB41" s="17">
        <v>195600.4</v>
      </c>
      <c r="OC41" s="16" t="s">
        <v>30</v>
      </c>
      <c r="OD41" s="17">
        <v>190208.3</v>
      </c>
      <c r="OE41" s="16" t="s">
        <v>30</v>
      </c>
      <c r="OF41" s="17">
        <v>194501.9</v>
      </c>
      <c r="OG41" s="16" t="s">
        <v>30</v>
      </c>
      <c r="OH41" s="17">
        <v>194433.6</v>
      </c>
      <c r="OI41" s="16" t="s">
        <v>30</v>
      </c>
      <c r="OJ41" s="17">
        <v>198605.2</v>
      </c>
      <c r="OK41" s="16" t="s">
        <v>30</v>
      </c>
      <c r="OL41" s="17">
        <v>195012.1</v>
      </c>
      <c r="OM41" s="16" t="s">
        <v>30</v>
      </c>
      <c r="ON41" s="17">
        <v>196971.2</v>
      </c>
      <c r="OO41" s="16" t="s">
        <v>30</v>
      </c>
      <c r="OP41" s="16" t="s">
        <v>235</v>
      </c>
      <c r="OQ41" s="16" t="s">
        <v>30</v>
      </c>
    </row>
    <row r="42" spans="1:407" x14ac:dyDescent="0.3">
      <c r="A42" s="12" t="s">
        <v>267</v>
      </c>
      <c r="B42" s="13" t="s">
        <v>235</v>
      </c>
      <c r="C42" s="13" t="s">
        <v>30</v>
      </c>
      <c r="D42" s="13" t="s">
        <v>235</v>
      </c>
      <c r="E42" s="13" t="s">
        <v>30</v>
      </c>
      <c r="F42" s="13" t="s">
        <v>235</v>
      </c>
      <c r="G42" s="13" t="s">
        <v>30</v>
      </c>
      <c r="H42" s="13" t="s">
        <v>235</v>
      </c>
      <c r="I42" s="13" t="s">
        <v>30</v>
      </c>
      <c r="J42" s="13" t="s">
        <v>235</v>
      </c>
      <c r="K42" s="13" t="s">
        <v>30</v>
      </c>
      <c r="L42" s="13" t="s">
        <v>235</v>
      </c>
      <c r="M42" s="13" t="s">
        <v>30</v>
      </c>
      <c r="N42" s="13" t="s">
        <v>235</v>
      </c>
      <c r="O42" s="13" t="s">
        <v>30</v>
      </c>
      <c r="P42" s="13" t="s">
        <v>235</v>
      </c>
      <c r="Q42" s="13" t="s">
        <v>30</v>
      </c>
      <c r="R42" s="13" t="s">
        <v>235</v>
      </c>
      <c r="S42" s="13" t="s">
        <v>30</v>
      </c>
      <c r="T42" s="13" t="s">
        <v>235</v>
      </c>
      <c r="U42" s="13" t="s">
        <v>30</v>
      </c>
      <c r="V42" s="13" t="s">
        <v>235</v>
      </c>
      <c r="W42" s="13" t="s">
        <v>30</v>
      </c>
      <c r="X42" s="13" t="s">
        <v>235</v>
      </c>
      <c r="Y42" s="13" t="s">
        <v>30</v>
      </c>
      <c r="Z42" s="13" t="s">
        <v>235</v>
      </c>
      <c r="AA42" s="13" t="s">
        <v>30</v>
      </c>
      <c r="AB42" s="13" t="s">
        <v>235</v>
      </c>
      <c r="AC42" s="13" t="s">
        <v>30</v>
      </c>
      <c r="AD42" s="13" t="s">
        <v>235</v>
      </c>
      <c r="AE42" s="13" t="s">
        <v>30</v>
      </c>
      <c r="AF42" s="13" t="s">
        <v>235</v>
      </c>
      <c r="AG42" s="13" t="s">
        <v>30</v>
      </c>
      <c r="AH42" s="13" t="s">
        <v>235</v>
      </c>
      <c r="AI42" s="13" t="s">
        <v>30</v>
      </c>
      <c r="AJ42" s="13" t="s">
        <v>235</v>
      </c>
      <c r="AK42" s="13" t="s">
        <v>30</v>
      </c>
      <c r="AL42" s="13" t="s">
        <v>235</v>
      </c>
      <c r="AM42" s="13" t="s">
        <v>30</v>
      </c>
      <c r="AN42" s="13" t="s">
        <v>235</v>
      </c>
      <c r="AO42" s="13" t="s">
        <v>30</v>
      </c>
      <c r="AP42" s="13" t="s">
        <v>235</v>
      </c>
      <c r="AQ42" s="13" t="s">
        <v>30</v>
      </c>
      <c r="AR42" s="13" t="s">
        <v>235</v>
      </c>
      <c r="AS42" s="13" t="s">
        <v>30</v>
      </c>
      <c r="AT42" s="13" t="s">
        <v>235</v>
      </c>
      <c r="AU42" s="13" t="s">
        <v>30</v>
      </c>
      <c r="AV42" s="13" t="s">
        <v>235</v>
      </c>
      <c r="AW42" s="13" t="s">
        <v>30</v>
      </c>
      <c r="AX42" s="13" t="s">
        <v>235</v>
      </c>
      <c r="AY42" s="13" t="s">
        <v>30</v>
      </c>
      <c r="AZ42" s="13" t="s">
        <v>235</v>
      </c>
      <c r="BA42" s="13" t="s">
        <v>30</v>
      </c>
      <c r="BB42" s="13" t="s">
        <v>235</v>
      </c>
      <c r="BC42" s="13" t="s">
        <v>30</v>
      </c>
      <c r="BD42" s="13" t="s">
        <v>235</v>
      </c>
      <c r="BE42" s="13" t="s">
        <v>30</v>
      </c>
      <c r="BF42" s="13" t="s">
        <v>235</v>
      </c>
      <c r="BG42" s="13" t="s">
        <v>30</v>
      </c>
      <c r="BH42" s="13" t="s">
        <v>235</v>
      </c>
      <c r="BI42" s="13" t="s">
        <v>30</v>
      </c>
      <c r="BJ42" s="13" t="s">
        <v>235</v>
      </c>
      <c r="BK42" s="13" t="s">
        <v>30</v>
      </c>
      <c r="BL42" s="13" t="s">
        <v>235</v>
      </c>
      <c r="BM42" s="13" t="s">
        <v>30</v>
      </c>
      <c r="BN42" s="13" t="s">
        <v>235</v>
      </c>
      <c r="BO42" s="13" t="s">
        <v>30</v>
      </c>
      <c r="BP42" s="13" t="s">
        <v>235</v>
      </c>
      <c r="BQ42" s="13" t="s">
        <v>30</v>
      </c>
      <c r="BR42" s="13" t="s">
        <v>235</v>
      </c>
      <c r="BS42" s="13" t="s">
        <v>30</v>
      </c>
      <c r="BT42" s="13" t="s">
        <v>235</v>
      </c>
      <c r="BU42" s="13" t="s">
        <v>30</v>
      </c>
      <c r="BV42" s="13" t="s">
        <v>235</v>
      </c>
      <c r="BW42" s="13" t="s">
        <v>30</v>
      </c>
      <c r="BX42" s="13" t="s">
        <v>235</v>
      </c>
      <c r="BY42" s="13" t="s">
        <v>30</v>
      </c>
      <c r="BZ42" s="13" t="s">
        <v>235</v>
      </c>
      <c r="CA42" s="13" t="s">
        <v>30</v>
      </c>
      <c r="CB42" s="13" t="s">
        <v>235</v>
      </c>
      <c r="CC42" s="13" t="s">
        <v>30</v>
      </c>
      <c r="CD42" s="13" t="s">
        <v>235</v>
      </c>
      <c r="CE42" s="13" t="s">
        <v>30</v>
      </c>
      <c r="CF42" s="13" t="s">
        <v>235</v>
      </c>
      <c r="CG42" s="13" t="s">
        <v>30</v>
      </c>
      <c r="CH42" s="13" t="s">
        <v>235</v>
      </c>
      <c r="CI42" s="13" t="s">
        <v>30</v>
      </c>
      <c r="CJ42" s="13" t="s">
        <v>235</v>
      </c>
      <c r="CK42" s="13" t="s">
        <v>30</v>
      </c>
      <c r="CL42" s="13" t="s">
        <v>235</v>
      </c>
      <c r="CM42" s="13" t="s">
        <v>30</v>
      </c>
      <c r="CN42" s="13" t="s">
        <v>235</v>
      </c>
      <c r="CO42" s="13" t="s">
        <v>30</v>
      </c>
      <c r="CP42" s="13" t="s">
        <v>235</v>
      </c>
      <c r="CQ42" s="13" t="s">
        <v>30</v>
      </c>
      <c r="CR42" s="13" t="s">
        <v>235</v>
      </c>
      <c r="CS42" s="13" t="s">
        <v>30</v>
      </c>
      <c r="CT42" s="13" t="s">
        <v>235</v>
      </c>
      <c r="CU42" s="13" t="s">
        <v>30</v>
      </c>
      <c r="CV42" s="13" t="s">
        <v>235</v>
      </c>
      <c r="CW42" s="13" t="s">
        <v>30</v>
      </c>
      <c r="CX42" s="13" t="s">
        <v>235</v>
      </c>
      <c r="CY42" s="13" t="s">
        <v>30</v>
      </c>
      <c r="CZ42" s="13" t="s">
        <v>235</v>
      </c>
      <c r="DA42" s="13" t="s">
        <v>30</v>
      </c>
      <c r="DB42" s="13" t="s">
        <v>235</v>
      </c>
      <c r="DC42" s="13" t="s">
        <v>30</v>
      </c>
      <c r="DD42" s="13" t="s">
        <v>235</v>
      </c>
      <c r="DE42" s="13" t="s">
        <v>30</v>
      </c>
      <c r="DF42" s="13" t="s">
        <v>235</v>
      </c>
      <c r="DG42" s="13" t="s">
        <v>30</v>
      </c>
      <c r="DH42" s="13" t="s">
        <v>235</v>
      </c>
      <c r="DI42" s="13" t="s">
        <v>30</v>
      </c>
      <c r="DJ42" s="13" t="s">
        <v>235</v>
      </c>
      <c r="DK42" s="13" t="s">
        <v>30</v>
      </c>
      <c r="DL42" s="13" t="s">
        <v>235</v>
      </c>
      <c r="DM42" s="13" t="s">
        <v>30</v>
      </c>
      <c r="DN42" s="13" t="s">
        <v>235</v>
      </c>
      <c r="DO42" s="13" t="s">
        <v>30</v>
      </c>
      <c r="DP42" s="13" t="s">
        <v>235</v>
      </c>
      <c r="DQ42" s="13" t="s">
        <v>30</v>
      </c>
      <c r="DR42" s="13" t="s">
        <v>235</v>
      </c>
      <c r="DS42" s="13" t="s">
        <v>30</v>
      </c>
      <c r="DT42" s="13" t="s">
        <v>235</v>
      </c>
      <c r="DU42" s="13" t="s">
        <v>30</v>
      </c>
      <c r="DV42" s="13" t="s">
        <v>235</v>
      </c>
      <c r="DW42" s="13" t="s">
        <v>30</v>
      </c>
      <c r="DX42" s="13" t="s">
        <v>235</v>
      </c>
      <c r="DY42" s="13" t="s">
        <v>30</v>
      </c>
      <c r="DZ42" s="13" t="s">
        <v>235</v>
      </c>
      <c r="EA42" s="13" t="s">
        <v>30</v>
      </c>
      <c r="EB42" s="13" t="s">
        <v>235</v>
      </c>
      <c r="EC42" s="13" t="s">
        <v>30</v>
      </c>
      <c r="ED42" s="13" t="s">
        <v>235</v>
      </c>
      <c r="EE42" s="13" t="s">
        <v>30</v>
      </c>
      <c r="EF42" s="13" t="s">
        <v>235</v>
      </c>
      <c r="EG42" s="13" t="s">
        <v>30</v>
      </c>
      <c r="EH42" s="13" t="s">
        <v>235</v>
      </c>
      <c r="EI42" s="13" t="s">
        <v>30</v>
      </c>
      <c r="EJ42" s="13" t="s">
        <v>235</v>
      </c>
      <c r="EK42" s="13" t="s">
        <v>30</v>
      </c>
      <c r="EL42" s="13" t="s">
        <v>235</v>
      </c>
      <c r="EM42" s="13" t="s">
        <v>30</v>
      </c>
      <c r="EN42" s="13" t="s">
        <v>235</v>
      </c>
      <c r="EO42" s="13" t="s">
        <v>30</v>
      </c>
      <c r="EP42" s="13" t="s">
        <v>235</v>
      </c>
      <c r="EQ42" s="13" t="s">
        <v>30</v>
      </c>
      <c r="ER42" s="13" t="s">
        <v>235</v>
      </c>
      <c r="ES42" s="13" t="s">
        <v>30</v>
      </c>
      <c r="ET42" s="13" t="s">
        <v>235</v>
      </c>
      <c r="EU42" s="13" t="s">
        <v>30</v>
      </c>
      <c r="EV42" s="13" t="s">
        <v>235</v>
      </c>
      <c r="EW42" s="13" t="s">
        <v>30</v>
      </c>
      <c r="EX42" s="13" t="s">
        <v>235</v>
      </c>
      <c r="EY42" s="13" t="s">
        <v>30</v>
      </c>
      <c r="EZ42" s="13" t="s">
        <v>235</v>
      </c>
      <c r="FA42" s="13" t="s">
        <v>30</v>
      </c>
      <c r="FB42" s="13" t="s">
        <v>235</v>
      </c>
      <c r="FC42" s="13" t="s">
        <v>30</v>
      </c>
      <c r="FD42" s="13" t="s">
        <v>235</v>
      </c>
      <c r="FE42" s="13" t="s">
        <v>30</v>
      </c>
      <c r="FF42" s="13" t="s">
        <v>235</v>
      </c>
      <c r="FG42" s="13" t="s">
        <v>30</v>
      </c>
      <c r="FH42" s="13" t="s">
        <v>235</v>
      </c>
      <c r="FI42" s="13" t="s">
        <v>30</v>
      </c>
      <c r="FJ42" s="13" t="s">
        <v>235</v>
      </c>
      <c r="FK42" s="13" t="s">
        <v>30</v>
      </c>
      <c r="FL42" s="13" t="s">
        <v>235</v>
      </c>
      <c r="FM42" s="13" t="s">
        <v>30</v>
      </c>
      <c r="FN42" s="13" t="s">
        <v>235</v>
      </c>
      <c r="FO42" s="13" t="s">
        <v>30</v>
      </c>
      <c r="FP42" s="13" t="s">
        <v>235</v>
      </c>
      <c r="FQ42" s="13" t="s">
        <v>30</v>
      </c>
      <c r="FR42" s="13" t="s">
        <v>235</v>
      </c>
      <c r="FS42" s="13" t="s">
        <v>30</v>
      </c>
      <c r="FT42" s="13" t="s">
        <v>235</v>
      </c>
      <c r="FU42" s="13" t="s">
        <v>30</v>
      </c>
      <c r="FV42" s="13" t="s">
        <v>235</v>
      </c>
      <c r="FW42" s="13" t="s">
        <v>30</v>
      </c>
      <c r="FX42" s="13" t="s">
        <v>235</v>
      </c>
      <c r="FY42" s="13" t="s">
        <v>30</v>
      </c>
      <c r="FZ42" s="13" t="s">
        <v>235</v>
      </c>
      <c r="GA42" s="13" t="s">
        <v>30</v>
      </c>
      <c r="GB42" s="13" t="s">
        <v>235</v>
      </c>
      <c r="GC42" s="13" t="s">
        <v>30</v>
      </c>
      <c r="GD42" s="13" t="s">
        <v>235</v>
      </c>
      <c r="GE42" s="13" t="s">
        <v>30</v>
      </c>
      <c r="GF42" s="13" t="s">
        <v>235</v>
      </c>
      <c r="GG42" s="13" t="s">
        <v>30</v>
      </c>
      <c r="GH42" s="13" t="s">
        <v>235</v>
      </c>
      <c r="GI42" s="13" t="s">
        <v>30</v>
      </c>
      <c r="GJ42" s="13" t="s">
        <v>235</v>
      </c>
      <c r="GK42" s="13" t="s">
        <v>30</v>
      </c>
      <c r="GL42" s="13" t="s">
        <v>235</v>
      </c>
      <c r="GM42" s="13" t="s">
        <v>30</v>
      </c>
      <c r="GN42" s="13" t="s">
        <v>235</v>
      </c>
      <c r="GO42" s="13" t="s">
        <v>30</v>
      </c>
      <c r="GP42" s="13" t="s">
        <v>235</v>
      </c>
      <c r="GQ42" s="13" t="s">
        <v>30</v>
      </c>
      <c r="GR42" s="13" t="s">
        <v>235</v>
      </c>
      <c r="GS42" s="13" t="s">
        <v>30</v>
      </c>
      <c r="GT42" s="13" t="s">
        <v>235</v>
      </c>
      <c r="GU42" s="13" t="s">
        <v>30</v>
      </c>
      <c r="GV42" s="13" t="s">
        <v>235</v>
      </c>
      <c r="GW42" s="13" t="s">
        <v>30</v>
      </c>
      <c r="GX42" s="13" t="s">
        <v>235</v>
      </c>
      <c r="GY42" s="13" t="s">
        <v>30</v>
      </c>
      <c r="GZ42" s="13" t="s">
        <v>235</v>
      </c>
      <c r="HA42" s="13" t="s">
        <v>30</v>
      </c>
      <c r="HB42" s="13" t="s">
        <v>235</v>
      </c>
      <c r="HC42" s="13" t="s">
        <v>30</v>
      </c>
      <c r="HD42" s="13" t="s">
        <v>235</v>
      </c>
      <c r="HE42" s="13" t="s">
        <v>30</v>
      </c>
      <c r="HF42" s="13" t="s">
        <v>235</v>
      </c>
      <c r="HG42" s="13" t="s">
        <v>30</v>
      </c>
      <c r="HH42" s="13" t="s">
        <v>235</v>
      </c>
      <c r="HI42" s="13" t="s">
        <v>30</v>
      </c>
      <c r="HJ42" s="13" t="s">
        <v>235</v>
      </c>
      <c r="HK42" s="13" t="s">
        <v>30</v>
      </c>
      <c r="HL42" s="13" t="s">
        <v>235</v>
      </c>
      <c r="HM42" s="13" t="s">
        <v>30</v>
      </c>
      <c r="HN42" s="13" t="s">
        <v>235</v>
      </c>
      <c r="HO42" s="13" t="s">
        <v>30</v>
      </c>
      <c r="HP42" s="13" t="s">
        <v>235</v>
      </c>
      <c r="HQ42" s="13" t="s">
        <v>30</v>
      </c>
      <c r="HR42" s="13" t="s">
        <v>235</v>
      </c>
      <c r="HS42" s="13" t="s">
        <v>30</v>
      </c>
      <c r="HT42" s="13" t="s">
        <v>235</v>
      </c>
      <c r="HU42" s="13" t="s">
        <v>30</v>
      </c>
      <c r="HV42" s="13" t="s">
        <v>235</v>
      </c>
      <c r="HW42" s="13" t="s">
        <v>30</v>
      </c>
      <c r="HX42" s="13" t="s">
        <v>235</v>
      </c>
      <c r="HY42" s="13" t="s">
        <v>30</v>
      </c>
      <c r="HZ42" s="13" t="s">
        <v>235</v>
      </c>
      <c r="IA42" s="13" t="s">
        <v>30</v>
      </c>
      <c r="IB42" s="13" t="s">
        <v>235</v>
      </c>
      <c r="IC42" s="13" t="s">
        <v>30</v>
      </c>
      <c r="ID42" s="13" t="s">
        <v>235</v>
      </c>
      <c r="IE42" s="13" t="s">
        <v>30</v>
      </c>
      <c r="IF42" s="13" t="s">
        <v>235</v>
      </c>
      <c r="IG42" s="13" t="s">
        <v>30</v>
      </c>
      <c r="IH42" s="13" t="s">
        <v>235</v>
      </c>
      <c r="II42" s="13" t="s">
        <v>30</v>
      </c>
      <c r="IJ42" s="13" t="s">
        <v>235</v>
      </c>
      <c r="IK42" s="13" t="s">
        <v>30</v>
      </c>
      <c r="IL42" s="13" t="s">
        <v>235</v>
      </c>
      <c r="IM42" s="13" t="s">
        <v>30</v>
      </c>
      <c r="IN42" s="13" t="s">
        <v>235</v>
      </c>
      <c r="IO42" s="13" t="s">
        <v>30</v>
      </c>
      <c r="IP42" s="13" t="s">
        <v>235</v>
      </c>
      <c r="IQ42" s="13" t="s">
        <v>30</v>
      </c>
      <c r="IR42" s="13" t="s">
        <v>235</v>
      </c>
      <c r="IS42" s="13" t="s">
        <v>30</v>
      </c>
      <c r="IT42" s="13" t="s">
        <v>235</v>
      </c>
      <c r="IU42" s="13" t="s">
        <v>30</v>
      </c>
      <c r="IV42" s="13" t="s">
        <v>235</v>
      </c>
      <c r="IW42" s="13" t="s">
        <v>30</v>
      </c>
      <c r="IX42" s="13" t="s">
        <v>235</v>
      </c>
      <c r="IY42" s="13" t="s">
        <v>30</v>
      </c>
      <c r="IZ42" s="13" t="s">
        <v>235</v>
      </c>
      <c r="JA42" s="13" t="s">
        <v>30</v>
      </c>
      <c r="JB42" s="13" t="s">
        <v>235</v>
      </c>
      <c r="JC42" s="13" t="s">
        <v>30</v>
      </c>
      <c r="JD42" s="13" t="s">
        <v>235</v>
      </c>
      <c r="JE42" s="13" t="s">
        <v>30</v>
      </c>
      <c r="JF42" s="13" t="s">
        <v>235</v>
      </c>
      <c r="JG42" s="13" t="s">
        <v>30</v>
      </c>
      <c r="JH42" s="13" t="s">
        <v>235</v>
      </c>
      <c r="JI42" s="13" t="s">
        <v>30</v>
      </c>
      <c r="JJ42" s="13" t="s">
        <v>235</v>
      </c>
      <c r="JK42" s="13" t="s">
        <v>30</v>
      </c>
      <c r="JL42" s="13" t="s">
        <v>235</v>
      </c>
      <c r="JM42" s="13" t="s">
        <v>30</v>
      </c>
      <c r="JN42" s="13" t="s">
        <v>235</v>
      </c>
      <c r="JO42" s="13" t="s">
        <v>30</v>
      </c>
      <c r="JP42" s="13" t="s">
        <v>235</v>
      </c>
      <c r="JQ42" s="13" t="s">
        <v>30</v>
      </c>
      <c r="JR42" s="13" t="s">
        <v>235</v>
      </c>
      <c r="JS42" s="13" t="s">
        <v>30</v>
      </c>
      <c r="JT42" s="13" t="s">
        <v>235</v>
      </c>
      <c r="JU42" s="13" t="s">
        <v>30</v>
      </c>
      <c r="JV42" s="13" t="s">
        <v>235</v>
      </c>
      <c r="JW42" s="13" t="s">
        <v>30</v>
      </c>
      <c r="JX42" s="13" t="s">
        <v>235</v>
      </c>
      <c r="JY42" s="13" t="s">
        <v>30</v>
      </c>
      <c r="JZ42" s="13" t="s">
        <v>235</v>
      </c>
      <c r="KA42" s="13" t="s">
        <v>30</v>
      </c>
      <c r="KB42" s="13" t="s">
        <v>235</v>
      </c>
      <c r="KC42" s="13" t="s">
        <v>30</v>
      </c>
      <c r="KD42" s="13" t="s">
        <v>235</v>
      </c>
      <c r="KE42" s="13" t="s">
        <v>30</v>
      </c>
      <c r="KF42" s="13" t="s">
        <v>235</v>
      </c>
      <c r="KG42" s="13" t="s">
        <v>30</v>
      </c>
      <c r="KH42" s="13" t="s">
        <v>235</v>
      </c>
      <c r="KI42" s="13" t="s">
        <v>30</v>
      </c>
      <c r="KJ42" s="13" t="s">
        <v>235</v>
      </c>
      <c r="KK42" s="13" t="s">
        <v>30</v>
      </c>
      <c r="KL42" s="13" t="s">
        <v>235</v>
      </c>
      <c r="KM42" s="13" t="s">
        <v>30</v>
      </c>
      <c r="KN42" s="13" t="s">
        <v>235</v>
      </c>
      <c r="KO42" s="13" t="s">
        <v>30</v>
      </c>
      <c r="KP42" s="13" t="s">
        <v>235</v>
      </c>
      <c r="KQ42" s="13" t="s">
        <v>30</v>
      </c>
      <c r="KR42" s="13" t="s">
        <v>235</v>
      </c>
      <c r="KS42" s="13" t="s">
        <v>30</v>
      </c>
      <c r="KT42" s="13" t="s">
        <v>235</v>
      </c>
      <c r="KU42" s="13" t="s">
        <v>30</v>
      </c>
      <c r="KV42" s="13" t="s">
        <v>235</v>
      </c>
      <c r="KW42" s="13" t="s">
        <v>30</v>
      </c>
      <c r="KX42" s="13" t="s">
        <v>235</v>
      </c>
      <c r="KY42" s="13" t="s">
        <v>30</v>
      </c>
      <c r="KZ42" s="13" t="s">
        <v>235</v>
      </c>
      <c r="LA42" s="13" t="s">
        <v>30</v>
      </c>
      <c r="LB42" s="13" t="s">
        <v>235</v>
      </c>
      <c r="LC42" s="13" t="s">
        <v>30</v>
      </c>
      <c r="LD42" s="13" t="s">
        <v>235</v>
      </c>
      <c r="LE42" s="13" t="s">
        <v>30</v>
      </c>
      <c r="LF42" s="13" t="s">
        <v>235</v>
      </c>
      <c r="LG42" s="13" t="s">
        <v>30</v>
      </c>
      <c r="LH42" s="13" t="s">
        <v>235</v>
      </c>
      <c r="LI42" s="13" t="s">
        <v>30</v>
      </c>
      <c r="LJ42" s="13" t="s">
        <v>235</v>
      </c>
      <c r="LK42" s="13" t="s">
        <v>30</v>
      </c>
      <c r="LL42" s="13" t="s">
        <v>235</v>
      </c>
      <c r="LM42" s="13" t="s">
        <v>30</v>
      </c>
      <c r="LN42" s="13" t="s">
        <v>235</v>
      </c>
      <c r="LO42" s="13" t="s">
        <v>30</v>
      </c>
      <c r="LP42" s="13" t="s">
        <v>235</v>
      </c>
      <c r="LQ42" s="13" t="s">
        <v>30</v>
      </c>
      <c r="LR42" s="13" t="s">
        <v>235</v>
      </c>
      <c r="LS42" s="13" t="s">
        <v>30</v>
      </c>
      <c r="LT42" s="13" t="s">
        <v>235</v>
      </c>
      <c r="LU42" s="13" t="s">
        <v>30</v>
      </c>
      <c r="LV42" s="13" t="s">
        <v>235</v>
      </c>
      <c r="LW42" s="13" t="s">
        <v>30</v>
      </c>
      <c r="LX42" s="13" t="s">
        <v>235</v>
      </c>
      <c r="LY42" s="13" t="s">
        <v>30</v>
      </c>
      <c r="LZ42" s="13" t="s">
        <v>235</v>
      </c>
      <c r="MA42" s="13" t="s">
        <v>30</v>
      </c>
      <c r="MB42" s="13" t="s">
        <v>235</v>
      </c>
      <c r="MC42" s="13" t="s">
        <v>30</v>
      </c>
      <c r="MD42" s="13" t="s">
        <v>235</v>
      </c>
      <c r="ME42" s="13" t="s">
        <v>30</v>
      </c>
      <c r="MF42" s="13" t="s">
        <v>235</v>
      </c>
      <c r="MG42" s="13" t="s">
        <v>30</v>
      </c>
      <c r="MH42" s="13" t="s">
        <v>235</v>
      </c>
      <c r="MI42" s="13" t="s">
        <v>30</v>
      </c>
      <c r="MJ42" s="13" t="s">
        <v>235</v>
      </c>
      <c r="MK42" s="13" t="s">
        <v>30</v>
      </c>
      <c r="ML42" s="13" t="s">
        <v>235</v>
      </c>
      <c r="MM42" s="13" t="s">
        <v>30</v>
      </c>
      <c r="MN42" s="13" t="s">
        <v>235</v>
      </c>
      <c r="MO42" s="13" t="s">
        <v>30</v>
      </c>
      <c r="MP42" s="13" t="s">
        <v>235</v>
      </c>
      <c r="MQ42" s="13" t="s">
        <v>30</v>
      </c>
      <c r="MR42" s="13" t="s">
        <v>235</v>
      </c>
      <c r="MS42" s="13" t="s">
        <v>30</v>
      </c>
      <c r="MT42" s="13" t="s">
        <v>235</v>
      </c>
      <c r="MU42" s="13" t="s">
        <v>30</v>
      </c>
      <c r="MV42" s="13" t="s">
        <v>235</v>
      </c>
      <c r="MW42" s="13" t="s">
        <v>30</v>
      </c>
      <c r="MX42" s="13" t="s">
        <v>235</v>
      </c>
      <c r="MY42" s="13" t="s">
        <v>30</v>
      </c>
      <c r="MZ42" s="13" t="s">
        <v>235</v>
      </c>
      <c r="NA42" s="13" t="s">
        <v>30</v>
      </c>
      <c r="NB42" s="13" t="s">
        <v>235</v>
      </c>
      <c r="NC42" s="13" t="s">
        <v>30</v>
      </c>
      <c r="ND42" s="13" t="s">
        <v>235</v>
      </c>
      <c r="NE42" s="13" t="s">
        <v>30</v>
      </c>
      <c r="NF42" s="13" t="s">
        <v>235</v>
      </c>
      <c r="NG42" s="13" t="s">
        <v>30</v>
      </c>
      <c r="NH42" s="13" t="s">
        <v>235</v>
      </c>
      <c r="NI42" s="13" t="s">
        <v>30</v>
      </c>
      <c r="NJ42" s="13" t="s">
        <v>235</v>
      </c>
      <c r="NK42" s="13" t="s">
        <v>30</v>
      </c>
      <c r="NL42" s="13" t="s">
        <v>235</v>
      </c>
      <c r="NM42" s="13" t="s">
        <v>30</v>
      </c>
      <c r="NN42" s="13" t="s">
        <v>235</v>
      </c>
      <c r="NO42" s="13" t="s">
        <v>30</v>
      </c>
      <c r="NP42" s="13" t="s">
        <v>235</v>
      </c>
      <c r="NQ42" s="13" t="s">
        <v>30</v>
      </c>
      <c r="NR42" s="13" t="s">
        <v>235</v>
      </c>
      <c r="NS42" s="13" t="s">
        <v>30</v>
      </c>
      <c r="NT42" s="13" t="s">
        <v>235</v>
      </c>
      <c r="NU42" s="13" t="s">
        <v>30</v>
      </c>
      <c r="NV42" s="13" t="s">
        <v>235</v>
      </c>
      <c r="NW42" s="13" t="s">
        <v>30</v>
      </c>
      <c r="NX42" s="13" t="s">
        <v>235</v>
      </c>
      <c r="NY42" s="13" t="s">
        <v>30</v>
      </c>
      <c r="NZ42" s="13" t="s">
        <v>235</v>
      </c>
      <c r="OA42" s="13" t="s">
        <v>30</v>
      </c>
      <c r="OB42" s="13" t="s">
        <v>235</v>
      </c>
      <c r="OC42" s="13" t="s">
        <v>30</v>
      </c>
      <c r="OD42" s="13" t="s">
        <v>235</v>
      </c>
      <c r="OE42" s="13" t="s">
        <v>30</v>
      </c>
      <c r="OF42" s="13" t="s">
        <v>235</v>
      </c>
      <c r="OG42" s="13" t="s">
        <v>30</v>
      </c>
      <c r="OH42" s="13" t="s">
        <v>235</v>
      </c>
      <c r="OI42" s="13" t="s">
        <v>30</v>
      </c>
      <c r="OJ42" s="13" t="s">
        <v>235</v>
      </c>
      <c r="OK42" s="13" t="s">
        <v>30</v>
      </c>
      <c r="OL42" s="13" t="s">
        <v>235</v>
      </c>
      <c r="OM42" s="13" t="s">
        <v>30</v>
      </c>
      <c r="ON42" s="13" t="s">
        <v>235</v>
      </c>
      <c r="OO42" s="13" t="s">
        <v>30</v>
      </c>
      <c r="OP42" s="13" t="s">
        <v>235</v>
      </c>
      <c r="OQ42" s="13" t="s">
        <v>30</v>
      </c>
    </row>
    <row r="43" spans="1:407" x14ac:dyDescent="0.3">
      <c r="A43" s="12" t="s">
        <v>268</v>
      </c>
      <c r="B43" s="16" t="s">
        <v>235</v>
      </c>
      <c r="C43" s="16" t="s">
        <v>30</v>
      </c>
      <c r="D43" s="16" t="s">
        <v>235</v>
      </c>
      <c r="E43" s="16" t="s">
        <v>30</v>
      </c>
      <c r="F43" s="16" t="s">
        <v>235</v>
      </c>
      <c r="G43" s="16" t="s">
        <v>30</v>
      </c>
      <c r="H43" s="16" t="s">
        <v>235</v>
      </c>
      <c r="I43" s="16" t="s">
        <v>30</v>
      </c>
      <c r="J43" s="16" t="s">
        <v>235</v>
      </c>
      <c r="K43" s="16" t="s">
        <v>30</v>
      </c>
      <c r="L43" s="16" t="s">
        <v>235</v>
      </c>
      <c r="M43" s="16" t="s">
        <v>30</v>
      </c>
      <c r="N43" s="16" t="s">
        <v>235</v>
      </c>
      <c r="O43" s="16" t="s">
        <v>30</v>
      </c>
      <c r="P43" s="16" t="s">
        <v>235</v>
      </c>
      <c r="Q43" s="16" t="s">
        <v>30</v>
      </c>
      <c r="R43" s="16" t="s">
        <v>235</v>
      </c>
      <c r="S43" s="16" t="s">
        <v>30</v>
      </c>
      <c r="T43" s="16" t="s">
        <v>235</v>
      </c>
      <c r="U43" s="16" t="s">
        <v>30</v>
      </c>
      <c r="V43" s="16" t="s">
        <v>235</v>
      </c>
      <c r="W43" s="16" t="s">
        <v>30</v>
      </c>
      <c r="X43" s="16" t="s">
        <v>235</v>
      </c>
      <c r="Y43" s="16" t="s">
        <v>30</v>
      </c>
      <c r="Z43" s="16" t="s">
        <v>235</v>
      </c>
      <c r="AA43" s="16" t="s">
        <v>30</v>
      </c>
      <c r="AB43" s="16" t="s">
        <v>235</v>
      </c>
      <c r="AC43" s="16" t="s">
        <v>30</v>
      </c>
      <c r="AD43" s="16" t="s">
        <v>235</v>
      </c>
      <c r="AE43" s="16" t="s">
        <v>30</v>
      </c>
      <c r="AF43" s="16" t="s">
        <v>235</v>
      </c>
      <c r="AG43" s="16" t="s">
        <v>30</v>
      </c>
      <c r="AH43" s="16" t="s">
        <v>235</v>
      </c>
      <c r="AI43" s="16" t="s">
        <v>30</v>
      </c>
      <c r="AJ43" s="16" t="s">
        <v>235</v>
      </c>
      <c r="AK43" s="16" t="s">
        <v>30</v>
      </c>
      <c r="AL43" s="16" t="s">
        <v>235</v>
      </c>
      <c r="AM43" s="16" t="s">
        <v>30</v>
      </c>
      <c r="AN43" s="16" t="s">
        <v>235</v>
      </c>
      <c r="AO43" s="16" t="s">
        <v>30</v>
      </c>
      <c r="AP43" s="16" t="s">
        <v>235</v>
      </c>
      <c r="AQ43" s="16" t="s">
        <v>30</v>
      </c>
      <c r="AR43" s="16" t="s">
        <v>235</v>
      </c>
      <c r="AS43" s="16" t="s">
        <v>30</v>
      </c>
      <c r="AT43" s="16" t="s">
        <v>235</v>
      </c>
      <c r="AU43" s="16" t="s">
        <v>30</v>
      </c>
      <c r="AV43" s="16" t="s">
        <v>235</v>
      </c>
      <c r="AW43" s="16" t="s">
        <v>30</v>
      </c>
      <c r="AX43" s="16" t="s">
        <v>235</v>
      </c>
      <c r="AY43" s="16" t="s">
        <v>30</v>
      </c>
      <c r="AZ43" s="16" t="s">
        <v>235</v>
      </c>
      <c r="BA43" s="16" t="s">
        <v>30</v>
      </c>
      <c r="BB43" s="16" t="s">
        <v>235</v>
      </c>
      <c r="BC43" s="16" t="s">
        <v>30</v>
      </c>
      <c r="BD43" s="16" t="s">
        <v>235</v>
      </c>
      <c r="BE43" s="16" t="s">
        <v>30</v>
      </c>
      <c r="BF43" s="16" t="s">
        <v>235</v>
      </c>
      <c r="BG43" s="16" t="s">
        <v>30</v>
      </c>
      <c r="BH43" s="16" t="s">
        <v>235</v>
      </c>
      <c r="BI43" s="16" t="s">
        <v>30</v>
      </c>
      <c r="BJ43" s="16" t="s">
        <v>235</v>
      </c>
      <c r="BK43" s="16" t="s">
        <v>30</v>
      </c>
      <c r="BL43" s="16" t="s">
        <v>235</v>
      </c>
      <c r="BM43" s="16" t="s">
        <v>30</v>
      </c>
      <c r="BN43" s="16" t="s">
        <v>235</v>
      </c>
      <c r="BO43" s="16" t="s">
        <v>30</v>
      </c>
      <c r="BP43" s="16" t="s">
        <v>235</v>
      </c>
      <c r="BQ43" s="16" t="s">
        <v>30</v>
      </c>
      <c r="BR43" s="16" t="s">
        <v>235</v>
      </c>
      <c r="BS43" s="16" t="s">
        <v>30</v>
      </c>
      <c r="BT43" s="16" t="s">
        <v>235</v>
      </c>
      <c r="BU43" s="16" t="s">
        <v>30</v>
      </c>
      <c r="BV43" s="16" t="s">
        <v>235</v>
      </c>
      <c r="BW43" s="16" t="s">
        <v>30</v>
      </c>
      <c r="BX43" s="16" t="s">
        <v>235</v>
      </c>
      <c r="BY43" s="16" t="s">
        <v>30</v>
      </c>
      <c r="BZ43" s="16" t="s">
        <v>235</v>
      </c>
      <c r="CA43" s="16" t="s">
        <v>30</v>
      </c>
      <c r="CB43" s="16" t="s">
        <v>235</v>
      </c>
      <c r="CC43" s="16" t="s">
        <v>30</v>
      </c>
      <c r="CD43" s="16" t="s">
        <v>235</v>
      </c>
      <c r="CE43" s="16" t="s">
        <v>30</v>
      </c>
      <c r="CF43" s="16" t="s">
        <v>235</v>
      </c>
      <c r="CG43" s="16" t="s">
        <v>30</v>
      </c>
      <c r="CH43" s="16" t="s">
        <v>235</v>
      </c>
      <c r="CI43" s="16" t="s">
        <v>30</v>
      </c>
      <c r="CJ43" s="16" t="s">
        <v>235</v>
      </c>
      <c r="CK43" s="16" t="s">
        <v>30</v>
      </c>
      <c r="CL43" s="16" t="s">
        <v>235</v>
      </c>
      <c r="CM43" s="16" t="s">
        <v>30</v>
      </c>
      <c r="CN43" s="16" t="s">
        <v>235</v>
      </c>
      <c r="CO43" s="16" t="s">
        <v>30</v>
      </c>
      <c r="CP43" s="16" t="s">
        <v>235</v>
      </c>
      <c r="CQ43" s="16" t="s">
        <v>30</v>
      </c>
      <c r="CR43" s="16" t="s">
        <v>235</v>
      </c>
      <c r="CS43" s="16" t="s">
        <v>30</v>
      </c>
      <c r="CT43" s="16" t="s">
        <v>235</v>
      </c>
      <c r="CU43" s="16" t="s">
        <v>30</v>
      </c>
      <c r="CV43" s="16" t="s">
        <v>235</v>
      </c>
      <c r="CW43" s="16" t="s">
        <v>30</v>
      </c>
      <c r="CX43" s="16" t="s">
        <v>235</v>
      </c>
      <c r="CY43" s="16" t="s">
        <v>30</v>
      </c>
      <c r="CZ43" s="16" t="s">
        <v>235</v>
      </c>
      <c r="DA43" s="16" t="s">
        <v>30</v>
      </c>
      <c r="DB43" s="16" t="s">
        <v>235</v>
      </c>
      <c r="DC43" s="16" t="s">
        <v>30</v>
      </c>
      <c r="DD43" s="16" t="s">
        <v>235</v>
      </c>
      <c r="DE43" s="16" t="s">
        <v>30</v>
      </c>
      <c r="DF43" s="16" t="s">
        <v>235</v>
      </c>
      <c r="DG43" s="16" t="s">
        <v>30</v>
      </c>
      <c r="DH43" s="16" t="s">
        <v>235</v>
      </c>
      <c r="DI43" s="16" t="s">
        <v>30</v>
      </c>
      <c r="DJ43" s="16" t="s">
        <v>235</v>
      </c>
      <c r="DK43" s="16" t="s">
        <v>30</v>
      </c>
      <c r="DL43" s="16" t="s">
        <v>235</v>
      </c>
      <c r="DM43" s="16" t="s">
        <v>30</v>
      </c>
      <c r="DN43" s="16" t="s">
        <v>235</v>
      </c>
      <c r="DO43" s="16" t="s">
        <v>30</v>
      </c>
      <c r="DP43" s="16" t="s">
        <v>235</v>
      </c>
      <c r="DQ43" s="16" t="s">
        <v>30</v>
      </c>
      <c r="DR43" s="16" t="s">
        <v>235</v>
      </c>
      <c r="DS43" s="16" t="s">
        <v>30</v>
      </c>
      <c r="DT43" s="16" t="s">
        <v>235</v>
      </c>
      <c r="DU43" s="16" t="s">
        <v>30</v>
      </c>
      <c r="DV43" s="16" t="s">
        <v>235</v>
      </c>
      <c r="DW43" s="16" t="s">
        <v>30</v>
      </c>
      <c r="DX43" s="16" t="s">
        <v>235</v>
      </c>
      <c r="DY43" s="16" t="s">
        <v>30</v>
      </c>
      <c r="DZ43" s="16" t="s">
        <v>235</v>
      </c>
      <c r="EA43" s="16" t="s">
        <v>30</v>
      </c>
      <c r="EB43" s="16" t="s">
        <v>235</v>
      </c>
      <c r="EC43" s="16" t="s">
        <v>30</v>
      </c>
      <c r="ED43" s="16" t="s">
        <v>235</v>
      </c>
      <c r="EE43" s="16" t="s">
        <v>30</v>
      </c>
      <c r="EF43" s="16" t="s">
        <v>235</v>
      </c>
      <c r="EG43" s="16" t="s">
        <v>30</v>
      </c>
      <c r="EH43" s="16" t="s">
        <v>235</v>
      </c>
      <c r="EI43" s="16" t="s">
        <v>30</v>
      </c>
      <c r="EJ43" s="16" t="s">
        <v>235</v>
      </c>
      <c r="EK43" s="16" t="s">
        <v>30</v>
      </c>
      <c r="EL43" s="16" t="s">
        <v>235</v>
      </c>
      <c r="EM43" s="16" t="s">
        <v>30</v>
      </c>
      <c r="EN43" s="16" t="s">
        <v>235</v>
      </c>
      <c r="EO43" s="16" t="s">
        <v>30</v>
      </c>
      <c r="EP43" s="16" t="s">
        <v>235</v>
      </c>
      <c r="EQ43" s="16" t="s">
        <v>30</v>
      </c>
      <c r="ER43" s="16" t="s">
        <v>235</v>
      </c>
      <c r="ES43" s="16" t="s">
        <v>30</v>
      </c>
      <c r="ET43" s="16" t="s">
        <v>235</v>
      </c>
      <c r="EU43" s="16" t="s">
        <v>30</v>
      </c>
      <c r="EV43" s="16" t="s">
        <v>235</v>
      </c>
      <c r="EW43" s="16" t="s">
        <v>30</v>
      </c>
      <c r="EX43" s="16" t="s">
        <v>235</v>
      </c>
      <c r="EY43" s="16" t="s">
        <v>30</v>
      </c>
      <c r="EZ43" s="16" t="s">
        <v>235</v>
      </c>
      <c r="FA43" s="16" t="s">
        <v>30</v>
      </c>
      <c r="FB43" s="16" t="s">
        <v>235</v>
      </c>
      <c r="FC43" s="16" t="s">
        <v>30</v>
      </c>
      <c r="FD43" s="16" t="s">
        <v>235</v>
      </c>
      <c r="FE43" s="16" t="s">
        <v>30</v>
      </c>
      <c r="FF43" s="16" t="s">
        <v>235</v>
      </c>
      <c r="FG43" s="16" t="s">
        <v>30</v>
      </c>
      <c r="FH43" s="16" t="s">
        <v>235</v>
      </c>
      <c r="FI43" s="16" t="s">
        <v>30</v>
      </c>
      <c r="FJ43" s="16" t="s">
        <v>235</v>
      </c>
      <c r="FK43" s="16" t="s">
        <v>30</v>
      </c>
      <c r="FL43" s="16" t="s">
        <v>235</v>
      </c>
      <c r="FM43" s="16" t="s">
        <v>30</v>
      </c>
      <c r="FN43" s="16" t="s">
        <v>235</v>
      </c>
      <c r="FO43" s="16" t="s">
        <v>30</v>
      </c>
      <c r="FP43" s="16" t="s">
        <v>235</v>
      </c>
      <c r="FQ43" s="16" t="s">
        <v>30</v>
      </c>
      <c r="FR43" s="16" t="s">
        <v>235</v>
      </c>
      <c r="FS43" s="16" t="s">
        <v>30</v>
      </c>
      <c r="FT43" s="16" t="s">
        <v>235</v>
      </c>
      <c r="FU43" s="16" t="s">
        <v>30</v>
      </c>
      <c r="FV43" s="16" t="s">
        <v>235</v>
      </c>
      <c r="FW43" s="16" t="s">
        <v>30</v>
      </c>
      <c r="FX43" s="16" t="s">
        <v>235</v>
      </c>
      <c r="FY43" s="16" t="s">
        <v>30</v>
      </c>
      <c r="FZ43" s="16" t="s">
        <v>235</v>
      </c>
      <c r="GA43" s="16" t="s">
        <v>30</v>
      </c>
      <c r="GB43" s="16" t="s">
        <v>235</v>
      </c>
      <c r="GC43" s="16" t="s">
        <v>30</v>
      </c>
      <c r="GD43" s="16" t="s">
        <v>235</v>
      </c>
      <c r="GE43" s="16" t="s">
        <v>30</v>
      </c>
      <c r="GF43" s="16" t="s">
        <v>235</v>
      </c>
      <c r="GG43" s="16" t="s">
        <v>30</v>
      </c>
      <c r="GH43" s="16" t="s">
        <v>235</v>
      </c>
      <c r="GI43" s="16" t="s">
        <v>30</v>
      </c>
      <c r="GJ43" s="16" t="s">
        <v>235</v>
      </c>
      <c r="GK43" s="16" t="s">
        <v>30</v>
      </c>
      <c r="GL43" s="16" t="s">
        <v>235</v>
      </c>
      <c r="GM43" s="16" t="s">
        <v>30</v>
      </c>
      <c r="GN43" s="16" t="s">
        <v>235</v>
      </c>
      <c r="GO43" s="16" t="s">
        <v>30</v>
      </c>
      <c r="GP43" s="16" t="s">
        <v>235</v>
      </c>
      <c r="GQ43" s="16" t="s">
        <v>30</v>
      </c>
      <c r="GR43" s="16" t="s">
        <v>235</v>
      </c>
      <c r="GS43" s="16" t="s">
        <v>30</v>
      </c>
      <c r="GT43" s="17">
        <v>3733.1</v>
      </c>
      <c r="GU43" s="16" t="s">
        <v>30</v>
      </c>
      <c r="GV43" s="17">
        <v>4232.8</v>
      </c>
      <c r="GW43" s="16" t="s">
        <v>30</v>
      </c>
      <c r="GX43" s="17">
        <v>4704.8999999999996</v>
      </c>
      <c r="GY43" s="16" t="s">
        <v>30</v>
      </c>
      <c r="GZ43" s="17">
        <v>4626.2</v>
      </c>
      <c r="HA43" s="16" t="s">
        <v>30</v>
      </c>
      <c r="HB43" s="17">
        <v>3825.6</v>
      </c>
      <c r="HC43" s="16" t="s">
        <v>30</v>
      </c>
      <c r="HD43" s="17">
        <v>4337.7</v>
      </c>
      <c r="HE43" s="16" t="s">
        <v>30</v>
      </c>
      <c r="HF43" s="17">
        <v>4821.5</v>
      </c>
      <c r="HG43" s="16" t="s">
        <v>30</v>
      </c>
      <c r="HH43" s="17">
        <v>4740.8</v>
      </c>
      <c r="HI43" s="16" t="s">
        <v>30</v>
      </c>
      <c r="HJ43" s="17">
        <v>3983.7</v>
      </c>
      <c r="HK43" s="16" t="s">
        <v>30</v>
      </c>
      <c r="HL43" s="17">
        <v>4559.7</v>
      </c>
      <c r="HM43" s="16" t="s">
        <v>30</v>
      </c>
      <c r="HN43" s="17">
        <v>5078.6000000000004</v>
      </c>
      <c r="HO43" s="16" t="s">
        <v>30</v>
      </c>
      <c r="HP43" s="17">
        <v>5009.6000000000004</v>
      </c>
      <c r="HQ43" s="16" t="s">
        <v>30</v>
      </c>
      <c r="HR43" s="18">
        <v>4166</v>
      </c>
      <c r="HS43" s="16" t="s">
        <v>30</v>
      </c>
      <c r="HT43" s="17">
        <v>4710.8</v>
      </c>
      <c r="HU43" s="16" t="s">
        <v>30</v>
      </c>
      <c r="HV43" s="17">
        <v>5264.9</v>
      </c>
      <c r="HW43" s="16" t="s">
        <v>30</v>
      </c>
      <c r="HX43" s="17">
        <v>5239.2</v>
      </c>
      <c r="HY43" s="16" t="s">
        <v>30</v>
      </c>
      <c r="HZ43" s="17">
        <v>4390.2</v>
      </c>
      <c r="IA43" s="16" t="s">
        <v>30</v>
      </c>
      <c r="IB43" s="17">
        <v>5033.3</v>
      </c>
      <c r="IC43" s="16" t="s">
        <v>30</v>
      </c>
      <c r="ID43" s="17">
        <v>5644.4</v>
      </c>
      <c r="IE43" s="16" t="s">
        <v>30</v>
      </c>
      <c r="IF43" s="17">
        <v>5605.6</v>
      </c>
      <c r="IG43" s="16" t="s">
        <v>30</v>
      </c>
      <c r="IH43" s="17">
        <v>4605.5</v>
      </c>
      <c r="II43" s="16" t="s">
        <v>30</v>
      </c>
      <c r="IJ43" s="17">
        <v>5262.5</v>
      </c>
      <c r="IK43" s="16" t="s">
        <v>30</v>
      </c>
      <c r="IL43" s="17">
        <v>5862.7</v>
      </c>
      <c r="IM43" s="16" t="s">
        <v>30</v>
      </c>
      <c r="IN43" s="17">
        <v>5816.3</v>
      </c>
      <c r="IO43" s="16" t="s">
        <v>30</v>
      </c>
      <c r="IP43" s="17">
        <v>4921.7</v>
      </c>
      <c r="IQ43" s="16" t="s">
        <v>30</v>
      </c>
      <c r="IR43" s="17">
        <v>5592.8</v>
      </c>
      <c r="IS43" s="16" t="s">
        <v>30</v>
      </c>
      <c r="IT43" s="17">
        <v>6210.4</v>
      </c>
      <c r="IU43" s="16" t="s">
        <v>30</v>
      </c>
      <c r="IV43" s="17">
        <v>6098.9</v>
      </c>
      <c r="IW43" s="16" t="s">
        <v>30</v>
      </c>
      <c r="IX43" s="17">
        <v>5492.8</v>
      </c>
      <c r="IY43" s="16" t="s">
        <v>30</v>
      </c>
      <c r="IZ43" s="17">
        <v>5987.5</v>
      </c>
      <c r="JA43" s="16" t="s">
        <v>30</v>
      </c>
      <c r="JB43" s="17">
        <v>6495.4</v>
      </c>
      <c r="JC43" s="16" t="s">
        <v>30</v>
      </c>
      <c r="JD43" s="17">
        <v>6248.9</v>
      </c>
      <c r="JE43" s="16" t="s">
        <v>30</v>
      </c>
      <c r="JF43" s="17">
        <v>5872.1</v>
      </c>
      <c r="JG43" s="16" t="s">
        <v>30</v>
      </c>
      <c r="JH43" s="17">
        <v>6341.3</v>
      </c>
      <c r="JI43" s="16" t="s">
        <v>30</v>
      </c>
      <c r="JJ43" s="17">
        <v>6821.4</v>
      </c>
      <c r="JK43" s="16" t="s">
        <v>30</v>
      </c>
      <c r="JL43" s="17">
        <v>6556.1</v>
      </c>
      <c r="JM43" s="16" t="s">
        <v>30</v>
      </c>
      <c r="JN43" s="17">
        <v>5715.1</v>
      </c>
      <c r="JO43" s="16" t="s">
        <v>30</v>
      </c>
      <c r="JP43" s="17">
        <v>6237.9</v>
      </c>
      <c r="JQ43" s="16" t="s">
        <v>30</v>
      </c>
      <c r="JR43" s="17">
        <v>6650.3</v>
      </c>
      <c r="JS43" s="16" t="s">
        <v>30</v>
      </c>
      <c r="JT43" s="17">
        <v>6351.2</v>
      </c>
      <c r="JU43" s="16" t="s">
        <v>30</v>
      </c>
      <c r="JV43" s="17">
        <v>5748.9</v>
      </c>
      <c r="JW43" s="16" t="s">
        <v>30</v>
      </c>
      <c r="JX43" s="17">
        <v>6274.8</v>
      </c>
      <c r="JY43" s="16" t="s">
        <v>30</v>
      </c>
      <c r="JZ43" s="17">
        <v>6624.5</v>
      </c>
      <c r="KA43" s="16" t="s">
        <v>30</v>
      </c>
      <c r="KB43" s="18">
        <v>6489</v>
      </c>
      <c r="KC43" s="16" t="s">
        <v>30</v>
      </c>
      <c r="KD43" s="17">
        <v>5869.5</v>
      </c>
      <c r="KE43" s="16" t="s">
        <v>30</v>
      </c>
      <c r="KF43" s="17">
        <v>6359.5</v>
      </c>
      <c r="KG43" s="16" t="s">
        <v>30</v>
      </c>
      <c r="KH43" s="17">
        <v>6703.8</v>
      </c>
      <c r="KI43" s="16" t="s">
        <v>30</v>
      </c>
      <c r="KJ43" s="17">
        <v>6465.7</v>
      </c>
      <c r="KK43" s="16" t="s">
        <v>30</v>
      </c>
      <c r="KL43" s="17">
        <v>5777.4</v>
      </c>
      <c r="KM43" s="16" t="s">
        <v>30</v>
      </c>
      <c r="KN43" s="17">
        <v>6342.2</v>
      </c>
      <c r="KO43" s="16" t="s">
        <v>30</v>
      </c>
      <c r="KP43" s="17">
        <v>6698.2</v>
      </c>
      <c r="KQ43" s="16" t="s">
        <v>30</v>
      </c>
      <c r="KR43" s="17">
        <v>6379.6</v>
      </c>
      <c r="KS43" s="16" t="s">
        <v>30</v>
      </c>
      <c r="KT43" s="17">
        <v>5923.2</v>
      </c>
      <c r="KU43" s="16" t="s">
        <v>30</v>
      </c>
      <c r="KV43" s="17">
        <v>6460.9</v>
      </c>
      <c r="KW43" s="16" t="s">
        <v>30</v>
      </c>
      <c r="KX43" s="17">
        <v>6797.8</v>
      </c>
      <c r="KY43" s="16" t="s">
        <v>30</v>
      </c>
      <c r="KZ43" s="17">
        <v>6622.1</v>
      </c>
      <c r="LA43" s="16" t="s">
        <v>30</v>
      </c>
      <c r="LB43" s="17">
        <v>6120.3</v>
      </c>
      <c r="LC43" s="16" t="s">
        <v>30</v>
      </c>
      <c r="LD43" s="18">
        <v>6453</v>
      </c>
      <c r="LE43" s="16" t="s">
        <v>30</v>
      </c>
      <c r="LF43" s="17">
        <v>6819.6</v>
      </c>
      <c r="LG43" s="16" t="s">
        <v>30</v>
      </c>
      <c r="LH43" s="17">
        <v>6712.1</v>
      </c>
      <c r="LI43" s="16" t="s">
        <v>30</v>
      </c>
      <c r="LJ43" s="17">
        <v>6165.1</v>
      </c>
      <c r="LK43" s="16" t="s">
        <v>236</v>
      </c>
      <c r="LL43" s="17">
        <v>6610.4</v>
      </c>
      <c r="LM43" s="16" t="s">
        <v>30</v>
      </c>
      <c r="LN43" s="17">
        <v>6922.9</v>
      </c>
      <c r="LO43" s="16" t="s">
        <v>30</v>
      </c>
      <c r="LP43" s="18">
        <v>6766</v>
      </c>
      <c r="LQ43" s="16" t="s">
        <v>30</v>
      </c>
      <c r="LR43" s="18">
        <v>6300</v>
      </c>
      <c r="LS43" s="16" t="s">
        <v>30</v>
      </c>
      <c r="LT43" s="17">
        <v>6769.6</v>
      </c>
      <c r="LU43" s="16" t="s">
        <v>30</v>
      </c>
      <c r="LV43" s="17">
        <v>7180.1</v>
      </c>
      <c r="LW43" s="16" t="s">
        <v>30</v>
      </c>
      <c r="LX43" s="17">
        <v>7061.4</v>
      </c>
      <c r="LY43" s="16" t="s">
        <v>30</v>
      </c>
      <c r="LZ43" s="17">
        <v>6533.2</v>
      </c>
      <c r="MA43" s="16" t="s">
        <v>30</v>
      </c>
      <c r="MB43" s="17">
        <v>7000.7</v>
      </c>
      <c r="MC43" s="16" t="s">
        <v>30</v>
      </c>
      <c r="MD43" s="18">
        <v>7448</v>
      </c>
      <c r="ME43" s="16" t="s">
        <v>30</v>
      </c>
      <c r="MF43" s="17">
        <v>7234.3</v>
      </c>
      <c r="MG43" s="16" t="s">
        <v>30</v>
      </c>
      <c r="MH43" s="17">
        <v>6761.5</v>
      </c>
      <c r="MI43" s="16" t="s">
        <v>30</v>
      </c>
      <c r="MJ43" s="17">
        <v>7276.8</v>
      </c>
      <c r="MK43" s="16" t="s">
        <v>30</v>
      </c>
      <c r="ML43" s="17">
        <v>7712.5</v>
      </c>
      <c r="MM43" s="16" t="s">
        <v>30</v>
      </c>
      <c r="MN43" s="17">
        <v>7532.7</v>
      </c>
      <c r="MO43" s="16" t="s">
        <v>30</v>
      </c>
      <c r="MP43" s="17">
        <v>6935.4</v>
      </c>
      <c r="MQ43" s="16" t="s">
        <v>30</v>
      </c>
      <c r="MR43" s="17">
        <v>7491.3</v>
      </c>
      <c r="MS43" s="16" t="s">
        <v>30</v>
      </c>
      <c r="MT43" s="17">
        <v>7976.5</v>
      </c>
      <c r="MU43" s="16" t="s">
        <v>30</v>
      </c>
      <c r="MV43" s="17">
        <v>7714.6</v>
      </c>
      <c r="MW43" s="16" t="s">
        <v>30</v>
      </c>
      <c r="MX43" s="17">
        <v>7145.9</v>
      </c>
      <c r="MY43" s="16" t="s">
        <v>30</v>
      </c>
      <c r="MZ43" s="17">
        <v>6917.4</v>
      </c>
      <c r="NA43" s="16" t="s">
        <v>30</v>
      </c>
      <c r="NB43" s="17">
        <v>7625.5</v>
      </c>
      <c r="NC43" s="16" t="s">
        <v>30</v>
      </c>
      <c r="ND43" s="17">
        <v>7603.2</v>
      </c>
      <c r="NE43" s="16" t="s">
        <v>30</v>
      </c>
      <c r="NF43" s="17">
        <v>7336.7</v>
      </c>
      <c r="NG43" s="16" t="s">
        <v>30</v>
      </c>
      <c r="NH43" s="17">
        <v>7695.8</v>
      </c>
      <c r="NI43" s="16" t="s">
        <v>30</v>
      </c>
      <c r="NJ43" s="18">
        <v>8135</v>
      </c>
      <c r="NK43" s="16" t="s">
        <v>30</v>
      </c>
      <c r="NL43" s="17">
        <v>8165.9</v>
      </c>
      <c r="NM43" s="16" t="s">
        <v>30</v>
      </c>
      <c r="NN43" s="18">
        <v>7734</v>
      </c>
      <c r="NO43" s="16" t="s">
        <v>30</v>
      </c>
      <c r="NP43" s="17">
        <v>8145.1</v>
      </c>
      <c r="NQ43" s="16" t="s">
        <v>30</v>
      </c>
      <c r="NR43" s="17">
        <v>8382.5</v>
      </c>
      <c r="NS43" s="16" t="s">
        <v>30</v>
      </c>
      <c r="NT43" s="18">
        <v>8376</v>
      </c>
      <c r="NU43" s="16" t="s">
        <v>30</v>
      </c>
      <c r="NV43" s="17">
        <v>7917.1</v>
      </c>
      <c r="NW43" s="16" t="s">
        <v>30</v>
      </c>
      <c r="NX43" s="17">
        <v>8303.1</v>
      </c>
      <c r="NY43" s="16" t="s">
        <v>30</v>
      </c>
      <c r="NZ43" s="17">
        <v>8583.2000000000007</v>
      </c>
      <c r="OA43" s="16" t="s">
        <v>30</v>
      </c>
      <c r="OB43" s="17">
        <v>8501.6</v>
      </c>
      <c r="OC43" s="16" t="s">
        <v>30</v>
      </c>
      <c r="OD43" s="17">
        <v>8100.3</v>
      </c>
      <c r="OE43" s="16" t="s">
        <v>30</v>
      </c>
      <c r="OF43" s="17">
        <v>8481.2999999999993</v>
      </c>
      <c r="OG43" s="16" t="s">
        <v>30</v>
      </c>
      <c r="OH43" s="17">
        <v>8793.6</v>
      </c>
      <c r="OI43" s="16" t="s">
        <v>30</v>
      </c>
      <c r="OJ43" s="17">
        <v>8698.6</v>
      </c>
      <c r="OK43" s="16" t="s">
        <v>30</v>
      </c>
      <c r="OL43" s="17">
        <v>8193.7999999999993</v>
      </c>
      <c r="OM43" s="16" t="s">
        <v>30</v>
      </c>
      <c r="ON43" s="16" t="s">
        <v>235</v>
      </c>
      <c r="OO43" s="16" t="s">
        <v>30</v>
      </c>
      <c r="OP43" s="16" t="s">
        <v>235</v>
      </c>
      <c r="OQ43" s="16" t="s">
        <v>30</v>
      </c>
    </row>
    <row r="44" spans="1:407" x14ac:dyDescent="0.3">
      <c r="A44" s="12" t="s">
        <v>269</v>
      </c>
      <c r="B44" s="13" t="s">
        <v>235</v>
      </c>
      <c r="C44" s="13" t="s">
        <v>30</v>
      </c>
      <c r="D44" s="13" t="s">
        <v>235</v>
      </c>
      <c r="E44" s="13" t="s">
        <v>30</v>
      </c>
      <c r="F44" s="13" t="s">
        <v>235</v>
      </c>
      <c r="G44" s="13" t="s">
        <v>30</v>
      </c>
      <c r="H44" s="13" t="s">
        <v>235</v>
      </c>
      <c r="I44" s="13" t="s">
        <v>30</v>
      </c>
      <c r="J44" s="13" t="s">
        <v>235</v>
      </c>
      <c r="K44" s="13" t="s">
        <v>30</v>
      </c>
      <c r="L44" s="13" t="s">
        <v>235</v>
      </c>
      <c r="M44" s="13" t="s">
        <v>30</v>
      </c>
      <c r="N44" s="13" t="s">
        <v>235</v>
      </c>
      <c r="O44" s="13" t="s">
        <v>30</v>
      </c>
      <c r="P44" s="13" t="s">
        <v>235</v>
      </c>
      <c r="Q44" s="13" t="s">
        <v>30</v>
      </c>
      <c r="R44" s="13" t="s">
        <v>235</v>
      </c>
      <c r="S44" s="13" t="s">
        <v>30</v>
      </c>
      <c r="T44" s="13" t="s">
        <v>235</v>
      </c>
      <c r="U44" s="13" t="s">
        <v>30</v>
      </c>
      <c r="V44" s="13" t="s">
        <v>235</v>
      </c>
      <c r="W44" s="13" t="s">
        <v>30</v>
      </c>
      <c r="X44" s="13" t="s">
        <v>235</v>
      </c>
      <c r="Y44" s="13" t="s">
        <v>30</v>
      </c>
      <c r="Z44" s="13" t="s">
        <v>235</v>
      </c>
      <c r="AA44" s="13" t="s">
        <v>30</v>
      </c>
      <c r="AB44" s="13" t="s">
        <v>235</v>
      </c>
      <c r="AC44" s="13" t="s">
        <v>30</v>
      </c>
      <c r="AD44" s="13" t="s">
        <v>235</v>
      </c>
      <c r="AE44" s="13" t="s">
        <v>30</v>
      </c>
      <c r="AF44" s="13" t="s">
        <v>235</v>
      </c>
      <c r="AG44" s="13" t="s">
        <v>30</v>
      </c>
      <c r="AH44" s="13" t="s">
        <v>235</v>
      </c>
      <c r="AI44" s="13" t="s">
        <v>30</v>
      </c>
      <c r="AJ44" s="13" t="s">
        <v>235</v>
      </c>
      <c r="AK44" s="13" t="s">
        <v>30</v>
      </c>
      <c r="AL44" s="13" t="s">
        <v>235</v>
      </c>
      <c r="AM44" s="13" t="s">
        <v>30</v>
      </c>
      <c r="AN44" s="13" t="s">
        <v>235</v>
      </c>
      <c r="AO44" s="13" t="s">
        <v>30</v>
      </c>
      <c r="AP44" s="13" t="s">
        <v>235</v>
      </c>
      <c r="AQ44" s="13" t="s">
        <v>30</v>
      </c>
      <c r="AR44" s="13" t="s">
        <v>235</v>
      </c>
      <c r="AS44" s="13" t="s">
        <v>30</v>
      </c>
      <c r="AT44" s="13" t="s">
        <v>235</v>
      </c>
      <c r="AU44" s="13" t="s">
        <v>30</v>
      </c>
      <c r="AV44" s="13" t="s">
        <v>235</v>
      </c>
      <c r="AW44" s="13" t="s">
        <v>30</v>
      </c>
      <c r="AX44" s="13" t="s">
        <v>235</v>
      </c>
      <c r="AY44" s="13" t="s">
        <v>30</v>
      </c>
      <c r="AZ44" s="13" t="s">
        <v>235</v>
      </c>
      <c r="BA44" s="13" t="s">
        <v>30</v>
      </c>
      <c r="BB44" s="13" t="s">
        <v>235</v>
      </c>
      <c r="BC44" s="13" t="s">
        <v>30</v>
      </c>
      <c r="BD44" s="13" t="s">
        <v>235</v>
      </c>
      <c r="BE44" s="13" t="s">
        <v>30</v>
      </c>
      <c r="BF44" s="13" t="s">
        <v>235</v>
      </c>
      <c r="BG44" s="13" t="s">
        <v>30</v>
      </c>
      <c r="BH44" s="13" t="s">
        <v>235</v>
      </c>
      <c r="BI44" s="13" t="s">
        <v>30</v>
      </c>
      <c r="BJ44" s="13" t="s">
        <v>235</v>
      </c>
      <c r="BK44" s="13" t="s">
        <v>30</v>
      </c>
      <c r="BL44" s="13" t="s">
        <v>235</v>
      </c>
      <c r="BM44" s="13" t="s">
        <v>30</v>
      </c>
      <c r="BN44" s="13" t="s">
        <v>235</v>
      </c>
      <c r="BO44" s="13" t="s">
        <v>30</v>
      </c>
      <c r="BP44" s="13" t="s">
        <v>235</v>
      </c>
      <c r="BQ44" s="13" t="s">
        <v>30</v>
      </c>
      <c r="BR44" s="13" t="s">
        <v>235</v>
      </c>
      <c r="BS44" s="13" t="s">
        <v>30</v>
      </c>
      <c r="BT44" s="13" t="s">
        <v>235</v>
      </c>
      <c r="BU44" s="13" t="s">
        <v>30</v>
      </c>
      <c r="BV44" s="13" t="s">
        <v>235</v>
      </c>
      <c r="BW44" s="13" t="s">
        <v>30</v>
      </c>
      <c r="BX44" s="13" t="s">
        <v>235</v>
      </c>
      <c r="BY44" s="13" t="s">
        <v>30</v>
      </c>
      <c r="BZ44" s="13" t="s">
        <v>235</v>
      </c>
      <c r="CA44" s="13" t="s">
        <v>30</v>
      </c>
      <c r="CB44" s="13" t="s">
        <v>235</v>
      </c>
      <c r="CC44" s="13" t="s">
        <v>30</v>
      </c>
      <c r="CD44" s="13" t="s">
        <v>235</v>
      </c>
      <c r="CE44" s="13" t="s">
        <v>30</v>
      </c>
      <c r="CF44" s="13" t="s">
        <v>235</v>
      </c>
      <c r="CG44" s="13" t="s">
        <v>30</v>
      </c>
      <c r="CH44" s="13" t="s">
        <v>235</v>
      </c>
      <c r="CI44" s="13" t="s">
        <v>30</v>
      </c>
      <c r="CJ44" s="13" t="s">
        <v>235</v>
      </c>
      <c r="CK44" s="13" t="s">
        <v>30</v>
      </c>
      <c r="CL44" s="13" t="s">
        <v>235</v>
      </c>
      <c r="CM44" s="13" t="s">
        <v>30</v>
      </c>
      <c r="CN44" s="13" t="s">
        <v>235</v>
      </c>
      <c r="CO44" s="13" t="s">
        <v>30</v>
      </c>
      <c r="CP44" s="13" t="s">
        <v>235</v>
      </c>
      <c r="CQ44" s="13" t="s">
        <v>30</v>
      </c>
      <c r="CR44" s="13" t="s">
        <v>235</v>
      </c>
      <c r="CS44" s="13" t="s">
        <v>30</v>
      </c>
      <c r="CT44" s="13" t="s">
        <v>235</v>
      </c>
      <c r="CU44" s="13" t="s">
        <v>30</v>
      </c>
      <c r="CV44" s="13" t="s">
        <v>235</v>
      </c>
      <c r="CW44" s="13" t="s">
        <v>30</v>
      </c>
      <c r="CX44" s="13" t="s">
        <v>235</v>
      </c>
      <c r="CY44" s="13" t="s">
        <v>30</v>
      </c>
      <c r="CZ44" s="13" t="s">
        <v>235</v>
      </c>
      <c r="DA44" s="13" t="s">
        <v>30</v>
      </c>
      <c r="DB44" s="13" t="s">
        <v>235</v>
      </c>
      <c r="DC44" s="13" t="s">
        <v>30</v>
      </c>
      <c r="DD44" s="13" t="s">
        <v>235</v>
      </c>
      <c r="DE44" s="13" t="s">
        <v>30</v>
      </c>
      <c r="DF44" s="13" t="s">
        <v>235</v>
      </c>
      <c r="DG44" s="13" t="s">
        <v>30</v>
      </c>
      <c r="DH44" s="13" t="s">
        <v>235</v>
      </c>
      <c r="DI44" s="13" t="s">
        <v>30</v>
      </c>
      <c r="DJ44" s="13" t="s">
        <v>235</v>
      </c>
      <c r="DK44" s="13" t="s">
        <v>30</v>
      </c>
      <c r="DL44" s="13" t="s">
        <v>235</v>
      </c>
      <c r="DM44" s="13" t="s">
        <v>30</v>
      </c>
      <c r="DN44" s="13" t="s">
        <v>235</v>
      </c>
      <c r="DO44" s="13" t="s">
        <v>30</v>
      </c>
      <c r="DP44" s="13" t="s">
        <v>235</v>
      </c>
      <c r="DQ44" s="13" t="s">
        <v>30</v>
      </c>
      <c r="DR44" s="13" t="s">
        <v>235</v>
      </c>
      <c r="DS44" s="13" t="s">
        <v>30</v>
      </c>
      <c r="DT44" s="13" t="s">
        <v>235</v>
      </c>
      <c r="DU44" s="13" t="s">
        <v>30</v>
      </c>
      <c r="DV44" s="13" t="s">
        <v>235</v>
      </c>
      <c r="DW44" s="13" t="s">
        <v>30</v>
      </c>
      <c r="DX44" s="13" t="s">
        <v>235</v>
      </c>
      <c r="DY44" s="13" t="s">
        <v>30</v>
      </c>
      <c r="DZ44" s="13" t="s">
        <v>235</v>
      </c>
      <c r="EA44" s="13" t="s">
        <v>30</v>
      </c>
      <c r="EB44" s="13" t="s">
        <v>235</v>
      </c>
      <c r="EC44" s="13" t="s">
        <v>30</v>
      </c>
      <c r="ED44" s="13" t="s">
        <v>235</v>
      </c>
      <c r="EE44" s="13" t="s">
        <v>30</v>
      </c>
      <c r="EF44" s="13" t="s">
        <v>235</v>
      </c>
      <c r="EG44" s="13" t="s">
        <v>30</v>
      </c>
      <c r="EH44" s="13" t="s">
        <v>235</v>
      </c>
      <c r="EI44" s="13" t="s">
        <v>30</v>
      </c>
      <c r="EJ44" s="13" t="s">
        <v>235</v>
      </c>
      <c r="EK44" s="13" t="s">
        <v>30</v>
      </c>
      <c r="EL44" s="13" t="s">
        <v>235</v>
      </c>
      <c r="EM44" s="13" t="s">
        <v>30</v>
      </c>
      <c r="EN44" s="13" t="s">
        <v>235</v>
      </c>
      <c r="EO44" s="13" t="s">
        <v>30</v>
      </c>
      <c r="EP44" s="13" t="s">
        <v>235</v>
      </c>
      <c r="EQ44" s="13" t="s">
        <v>30</v>
      </c>
      <c r="ER44" s="13" t="s">
        <v>235</v>
      </c>
      <c r="ES44" s="13" t="s">
        <v>30</v>
      </c>
      <c r="ET44" s="13" t="s">
        <v>235</v>
      </c>
      <c r="EU44" s="13" t="s">
        <v>30</v>
      </c>
      <c r="EV44" s="13" t="s">
        <v>235</v>
      </c>
      <c r="EW44" s="13" t="s">
        <v>30</v>
      </c>
      <c r="EX44" s="13" t="s">
        <v>235</v>
      </c>
      <c r="EY44" s="13" t="s">
        <v>30</v>
      </c>
      <c r="EZ44" s="13" t="s">
        <v>235</v>
      </c>
      <c r="FA44" s="13" t="s">
        <v>30</v>
      </c>
      <c r="FB44" s="13" t="s">
        <v>235</v>
      </c>
      <c r="FC44" s="13" t="s">
        <v>30</v>
      </c>
      <c r="FD44" s="13" t="s">
        <v>235</v>
      </c>
      <c r="FE44" s="13" t="s">
        <v>30</v>
      </c>
      <c r="FF44" s="13" t="s">
        <v>235</v>
      </c>
      <c r="FG44" s="13" t="s">
        <v>30</v>
      </c>
      <c r="FH44" s="13" t="s">
        <v>235</v>
      </c>
      <c r="FI44" s="13" t="s">
        <v>30</v>
      </c>
      <c r="FJ44" s="13" t="s">
        <v>235</v>
      </c>
      <c r="FK44" s="13" t="s">
        <v>30</v>
      </c>
      <c r="FL44" s="13" t="s">
        <v>235</v>
      </c>
      <c r="FM44" s="13" t="s">
        <v>30</v>
      </c>
      <c r="FN44" s="13" t="s">
        <v>235</v>
      </c>
      <c r="FO44" s="13" t="s">
        <v>30</v>
      </c>
      <c r="FP44" s="13" t="s">
        <v>235</v>
      </c>
      <c r="FQ44" s="13" t="s">
        <v>30</v>
      </c>
      <c r="FR44" s="13" t="s">
        <v>235</v>
      </c>
      <c r="FS44" s="13" t="s">
        <v>30</v>
      </c>
      <c r="FT44" s="13" t="s">
        <v>235</v>
      </c>
      <c r="FU44" s="13" t="s">
        <v>30</v>
      </c>
      <c r="FV44" s="13" t="s">
        <v>235</v>
      </c>
      <c r="FW44" s="13" t="s">
        <v>30</v>
      </c>
      <c r="FX44" s="13" t="s">
        <v>235</v>
      </c>
      <c r="FY44" s="13" t="s">
        <v>30</v>
      </c>
      <c r="FZ44" s="13" t="s">
        <v>235</v>
      </c>
      <c r="GA44" s="13" t="s">
        <v>30</v>
      </c>
      <c r="GB44" s="13" t="s">
        <v>235</v>
      </c>
      <c r="GC44" s="13" t="s">
        <v>30</v>
      </c>
      <c r="GD44" s="13" t="s">
        <v>235</v>
      </c>
      <c r="GE44" s="13" t="s">
        <v>30</v>
      </c>
      <c r="GF44" s="13" t="s">
        <v>235</v>
      </c>
      <c r="GG44" s="13" t="s">
        <v>30</v>
      </c>
      <c r="GH44" s="13" t="s">
        <v>235</v>
      </c>
      <c r="GI44" s="13" t="s">
        <v>30</v>
      </c>
      <c r="GJ44" s="13" t="s">
        <v>235</v>
      </c>
      <c r="GK44" s="13" t="s">
        <v>30</v>
      </c>
      <c r="GL44" s="13" t="s">
        <v>235</v>
      </c>
      <c r="GM44" s="13" t="s">
        <v>30</v>
      </c>
      <c r="GN44" s="13" t="s">
        <v>235</v>
      </c>
      <c r="GO44" s="13" t="s">
        <v>30</v>
      </c>
      <c r="GP44" s="13" t="s">
        <v>235</v>
      </c>
      <c r="GQ44" s="13" t="s">
        <v>30</v>
      </c>
      <c r="GR44" s="13" t="s">
        <v>235</v>
      </c>
      <c r="GS44" s="13" t="s">
        <v>30</v>
      </c>
      <c r="GT44" s="13" t="s">
        <v>235</v>
      </c>
      <c r="GU44" s="13" t="s">
        <v>30</v>
      </c>
      <c r="GV44" s="13" t="s">
        <v>235</v>
      </c>
      <c r="GW44" s="13" t="s">
        <v>30</v>
      </c>
      <c r="GX44" s="13" t="s">
        <v>235</v>
      </c>
      <c r="GY44" s="13" t="s">
        <v>30</v>
      </c>
      <c r="GZ44" s="13" t="s">
        <v>235</v>
      </c>
      <c r="HA44" s="13" t="s">
        <v>30</v>
      </c>
      <c r="HB44" s="13" t="s">
        <v>235</v>
      </c>
      <c r="HC44" s="13" t="s">
        <v>30</v>
      </c>
      <c r="HD44" s="13" t="s">
        <v>235</v>
      </c>
      <c r="HE44" s="13" t="s">
        <v>30</v>
      </c>
      <c r="HF44" s="13" t="s">
        <v>235</v>
      </c>
      <c r="HG44" s="13" t="s">
        <v>30</v>
      </c>
      <c r="HH44" s="13" t="s">
        <v>235</v>
      </c>
      <c r="HI44" s="13" t="s">
        <v>30</v>
      </c>
      <c r="HJ44" s="13" t="s">
        <v>235</v>
      </c>
      <c r="HK44" s="13" t="s">
        <v>30</v>
      </c>
      <c r="HL44" s="13" t="s">
        <v>235</v>
      </c>
      <c r="HM44" s="13" t="s">
        <v>30</v>
      </c>
      <c r="HN44" s="13" t="s">
        <v>235</v>
      </c>
      <c r="HO44" s="13" t="s">
        <v>30</v>
      </c>
      <c r="HP44" s="13" t="s">
        <v>235</v>
      </c>
      <c r="HQ44" s="13" t="s">
        <v>30</v>
      </c>
      <c r="HR44" s="13" t="s">
        <v>235</v>
      </c>
      <c r="HS44" s="13" t="s">
        <v>30</v>
      </c>
      <c r="HT44" s="13" t="s">
        <v>235</v>
      </c>
      <c r="HU44" s="13" t="s">
        <v>30</v>
      </c>
      <c r="HV44" s="13" t="s">
        <v>235</v>
      </c>
      <c r="HW44" s="13" t="s">
        <v>30</v>
      </c>
      <c r="HX44" s="13" t="s">
        <v>235</v>
      </c>
      <c r="HY44" s="13" t="s">
        <v>30</v>
      </c>
      <c r="HZ44" s="13" t="s">
        <v>235</v>
      </c>
      <c r="IA44" s="13" t="s">
        <v>30</v>
      </c>
      <c r="IB44" s="13" t="s">
        <v>235</v>
      </c>
      <c r="IC44" s="13" t="s">
        <v>30</v>
      </c>
      <c r="ID44" s="13" t="s">
        <v>235</v>
      </c>
      <c r="IE44" s="13" t="s">
        <v>30</v>
      </c>
      <c r="IF44" s="13" t="s">
        <v>235</v>
      </c>
      <c r="IG44" s="13" t="s">
        <v>30</v>
      </c>
      <c r="IH44" s="13" t="s">
        <v>235</v>
      </c>
      <c r="II44" s="13" t="s">
        <v>30</v>
      </c>
      <c r="IJ44" s="13" t="s">
        <v>235</v>
      </c>
      <c r="IK44" s="13" t="s">
        <v>30</v>
      </c>
      <c r="IL44" s="13" t="s">
        <v>235</v>
      </c>
      <c r="IM44" s="13" t="s">
        <v>30</v>
      </c>
      <c r="IN44" s="13" t="s">
        <v>235</v>
      </c>
      <c r="IO44" s="13" t="s">
        <v>30</v>
      </c>
      <c r="IP44" s="14">
        <v>447.2</v>
      </c>
      <c r="IQ44" s="13" t="s">
        <v>30</v>
      </c>
      <c r="IR44" s="14">
        <v>671.4</v>
      </c>
      <c r="IS44" s="13" t="s">
        <v>30</v>
      </c>
      <c r="IT44" s="14">
        <v>916.7</v>
      </c>
      <c r="IU44" s="13" t="s">
        <v>30</v>
      </c>
      <c r="IV44" s="14">
        <v>697.9</v>
      </c>
      <c r="IW44" s="13" t="s">
        <v>30</v>
      </c>
      <c r="IX44" s="14">
        <v>485.1</v>
      </c>
      <c r="IY44" s="13" t="s">
        <v>30</v>
      </c>
      <c r="IZ44" s="14">
        <v>653.20000000000005</v>
      </c>
      <c r="JA44" s="13" t="s">
        <v>30</v>
      </c>
      <c r="JB44" s="14">
        <v>1020.2</v>
      </c>
      <c r="JC44" s="13" t="s">
        <v>30</v>
      </c>
      <c r="JD44" s="14">
        <v>746.1</v>
      </c>
      <c r="JE44" s="13" t="s">
        <v>30</v>
      </c>
      <c r="JF44" s="14">
        <v>527.9</v>
      </c>
      <c r="JG44" s="13" t="s">
        <v>30</v>
      </c>
      <c r="JH44" s="14">
        <v>759.6</v>
      </c>
      <c r="JI44" s="13" t="s">
        <v>30</v>
      </c>
      <c r="JJ44" s="14">
        <v>1024.2</v>
      </c>
      <c r="JK44" s="13" t="s">
        <v>30</v>
      </c>
      <c r="JL44" s="14">
        <v>787.6</v>
      </c>
      <c r="JM44" s="13" t="s">
        <v>30</v>
      </c>
      <c r="JN44" s="14">
        <v>564.70000000000005</v>
      </c>
      <c r="JO44" s="13" t="s">
        <v>30</v>
      </c>
      <c r="JP44" s="14">
        <v>667.5</v>
      </c>
      <c r="JQ44" s="13" t="s">
        <v>30</v>
      </c>
      <c r="JR44" s="14">
        <v>991.8</v>
      </c>
      <c r="JS44" s="13" t="s">
        <v>30</v>
      </c>
      <c r="JT44" s="14">
        <v>745.6</v>
      </c>
      <c r="JU44" s="13" t="s">
        <v>30</v>
      </c>
      <c r="JV44" s="14">
        <v>607.1</v>
      </c>
      <c r="JW44" s="13" t="s">
        <v>30</v>
      </c>
      <c r="JX44" s="14">
        <v>688.2</v>
      </c>
      <c r="JY44" s="13" t="s">
        <v>30</v>
      </c>
      <c r="JZ44" s="14">
        <v>948.5</v>
      </c>
      <c r="KA44" s="13" t="s">
        <v>30</v>
      </c>
      <c r="KB44" s="14">
        <v>808.5</v>
      </c>
      <c r="KC44" s="13" t="s">
        <v>30</v>
      </c>
      <c r="KD44" s="14">
        <v>606.70000000000005</v>
      </c>
      <c r="KE44" s="13" t="s">
        <v>30</v>
      </c>
      <c r="KF44" s="14">
        <v>709.8</v>
      </c>
      <c r="KG44" s="13" t="s">
        <v>30</v>
      </c>
      <c r="KH44" s="14">
        <v>1025.7</v>
      </c>
      <c r="KI44" s="13" t="s">
        <v>30</v>
      </c>
      <c r="KJ44" s="14">
        <v>830.9</v>
      </c>
      <c r="KK44" s="13" t="s">
        <v>30</v>
      </c>
      <c r="KL44" s="14">
        <v>594.5</v>
      </c>
      <c r="KM44" s="13" t="s">
        <v>30</v>
      </c>
      <c r="KN44" s="14">
        <v>713.7</v>
      </c>
      <c r="KO44" s="13" t="s">
        <v>30</v>
      </c>
      <c r="KP44" s="14">
        <v>1024.4000000000001</v>
      </c>
      <c r="KQ44" s="13" t="s">
        <v>30</v>
      </c>
      <c r="KR44" s="14">
        <v>778.8</v>
      </c>
      <c r="KS44" s="13" t="s">
        <v>30</v>
      </c>
      <c r="KT44" s="14">
        <v>595.5</v>
      </c>
      <c r="KU44" s="13" t="s">
        <v>30</v>
      </c>
      <c r="KV44" s="14">
        <v>732.9</v>
      </c>
      <c r="KW44" s="13" t="s">
        <v>30</v>
      </c>
      <c r="KX44" s="14">
        <v>1077.8</v>
      </c>
      <c r="KY44" s="13" t="s">
        <v>30</v>
      </c>
      <c r="KZ44" s="14">
        <v>825.3</v>
      </c>
      <c r="LA44" s="13" t="s">
        <v>30</v>
      </c>
      <c r="LB44" s="14">
        <v>624.9</v>
      </c>
      <c r="LC44" s="13" t="s">
        <v>30</v>
      </c>
      <c r="LD44" s="14">
        <v>742.1</v>
      </c>
      <c r="LE44" s="13" t="s">
        <v>30</v>
      </c>
      <c r="LF44" s="14">
        <v>1102.5</v>
      </c>
      <c r="LG44" s="13" t="s">
        <v>30</v>
      </c>
      <c r="LH44" s="14">
        <v>845.3</v>
      </c>
      <c r="LI44" s="13" t="s">
        <v>30</v>
      </c>
      <c r="LJ44" s="14">
        <v>649.20000000000005</v>
      </c>
      <c r="LK44" s="13" t="s">
        <v>30</v>
      </c>
      <c r="LL44" s="14">
        <v>773.4</v>
      </c>
      <c r="LM44" s="13" t="s">
        <v>30</v>
      </c>
      <c r="LN44" s="15">
        <v>1127</v>
      </c>
      <c r="LO44" s="13" t="s">
        <v>30</v>
      </c>
      <c r="LP44" s="14">
        <v>856.9</v>
      </c>
      <c r="LQ44" s="13" t="s">
        <v>30</v>
      </c>
      <c r="LR44" s="14">
        <v>636.79999999999995</v>
      </c>
      <c r="LS44" s="13" t="s">
        <v>30</v>
      </c>
      <c r="LT44" s="14">
        <v>796.1</v>
      </c>
      <c r="LU44" s="13" t="s">
        <v>30</v>
      </c>
      <c r="LV44" s="14">
        <v>1171.3</v>
      </c>
      <c r="LW44" s="13" t="s">
        <v>30</v>
      </c>
      <c r="LX44" s="14">
        <v>903.2</v>
      </c>
      <c r="LY44" s="13" t="s">
        <v>30</v>
      </c>
      <c r="LZ44" s="14">
        <v>644.79999999999995</v>
      </c>
      <c r="MA44" s="13" t="s">
        <v>30</v>
      </c>
      <c r="MB44" s="14">
        <v>823.6</v>
      </c>
      <c r="MC44" s="13" t="s">
        <v>30</v>
      </c>
      <c r="MD44" s="14">
        <v>1195.5999999999999</v>
      </c>
      <c r="ME44" s="13" t="s">
        <v>30</v>
      </c>
      <c r="MF44" s="14">
        <v>942.6</v>
      </c>
      <c r="MG44" s="13" t="s">
        <v>30</v>
      </c>
      <c r="MH44" s="14">
        <v>677.9</v>
      </c>
      <c r="MI44" s="13" t="s">
        <v>30</v>
      </c>
      <c r="MJ44" s="14">
        <v>866.2</v>
      </c>
      <c r="MK44" s="13" t="s">
        <v>30</v>
      </c>
      <c r="ML44" s="14">
        <v>1281.8</v>
      </c>
      <c r="MM44" s="13" t="s">
        <v>30</v>
      </c>
      <c r="MN44" s="14">
        <v>982.8</v>
      </c>
      <c r="MO44" s="13" t="s">
        <v>30</v>
      </c>
      <c r="MP44" s="15">
        <v>694</v>
      </c>
      <c r="MQ44" s="13" t="s">
        <v>30</v>
      </c>
      <c r="MR44" s="14">
        <v>908.6</v>
      </c>
      <c r="MS44" s="13" t="s">
        <v>30</v>
      </c>
      <c r="MT44" s="14">
        <v>1355.5</v>
      </c>
      <c r="MU44" s="13" t="s">
        <v>30</v>
      </c>
      <c r="MV44" s="14">
        <v>1025.0999999999999</v>
      </c>
      <c r="MW44" s="13" t="s">
        <v>30</v>
      </c>
      <c r="MX44" s="14">
        <v>716.7</v>
      </c>
      <c r="MY44" s="13" t="s">
        <v>30</v>
      </c>
      <c r="MZ44" s="14">
        <v>731.4</v>
      </c>
      <c r="NA44" s="13" t="s">
        <v>30</v>
      </c>
      <c r="NB44" s="14">
        <v>1007.5</v>
      </c>
      <c r="NC44" s="13" t="s">
        <v>30</v>
      </c>
      <c r="ND44" s="14">
        <v>971.1</v>
      </c>
      <c r="NE44" s="13" t="s">
        <v>30</v>
      </c>
      <c r="NF44" s="14">
        <v>788.2</v>
      </c>
      <c r="NG44" s="13" t="s">
        <v>30</v>
      </c>
      <c r="NH44" s="14">
        <v>895.4</v>
      </c>
      <c r="NI44" s="13" t="s">
        <v>30</v>
      </c>
      <c r="NJ44" s="14">
        <v>1175.2</v>
      </c>
      <c r="NK44" s="13" t="s">
        <v>30</v>
      </c>
      <c r="NL44" s="15">
        <v>1022</v>
      </c>
      <c r="NM44" s="13" t="s">
        <v>30</v>
      </c>
      <c r="NN44" s="14">
        <v>879.5</v>
      </c>
      <c r="NO44" s="13" t="s">
        <v>30</v>
      </c>
      <c r="NP44" s="14">
        <v>980.1</v>
      </c>
      <c r="NQ44" s="13" t="s">
        <v>30</v>
      </c>
      <c r="NR44" s="14">
        <v>1241.7</v>
      </c>
      <c r="NS44" s="13" t="s">
        <v>30</v>
      </c>
      <c r="NT44" s="14">
        <v>1086.9000000000001</v>
      </c>
      <c r="NU44" s="13" t="s">
        <v>30</v>
      </c>
      <c r="NV44" s="14">
        <v>851.1</v>
      </c>
      <c r="NW44" s="13" t="s">
        <v>30</v>
      </c>
      <c r="NX44" s="15">
        <v>1061</v>
      </c>
      <c r="NY44" s="13" t="s">
        <v>30</v>
      </c>
      <c r="NZ44" s="14">
        <v>1382.1</v>
      </c>
      <c r="OA44" s="13" t="s">
        <v>30</v>
      </c>
      <c r="OB44" s="14">
        <v>1141.8</v>
      </c>
      <c r="OC44" s="13" t="s">
        <v>30</v>
      </c>
      <c r="OD44" s="14">
        <v>870.8</v>
      </c>
      <c r="OE44" s="13" t="s">
        <v>30</v>
      </c>
      <c r="OF44" s="14">
        <v>1060.0999999999999</v>
      </c>
      <c r="OG44" s="13" t="s">
        <v>30</v>
      </c>
      <c r="OH44" s="14">
        <v>1398.4</v>
      </c>
      <c r="OI44" s="13" t="s">
        <v>30</v>
      </c>
      <c r="OJ44" s="14">
        <v>1190.7</v>
      </c>
      <c r="OK44" s="13" t="s">
        <v>30</v>
      </c>
      <c r="OL44" s="14">
        <v>861.4</v>
      </c>
      <c r="OM44" s="13" t="s">
        <v>237</v>
      </c>
      <c r="ON44" s="14">
        <v>1090.3</v>
      </c>
      <c r="OO44" s="13" t="s">
        <v>237</v>
      </c>
      <c r="OP44" s="13" t="s">
        <v>235</v>
      </c>
      <c r="OQ44" s="13" t="s">
        <v>30</v>
      </c>
    </row>
    <row r="45" spans="1:407" x14ac:dyDescent="0.3">
      <c r="A45" s="12" t="s">
        <v>270</v>
      </c>
      <c r="B45" s="16" t="s">
        <v>235</v>
      </c>
      <c r="C45" s="16" t="s">
        <v>30</v>
      </c>
      <c r="D45" s="16" t="s">
        <v>235</v>
      </c>
      <c r="E45" s="16" t="s">
        <v>30</v>
      </c>
      <c r="F45" s="16" t="s">
        <v>235</v>
      </c>
      <c r="G45" s="16" t="s">
        <v>30</v>
      </c>
      <c r="H45" s="16" t="s">
        <v>235</v>
      </c>
      <c r="I45" s="16" t="s">
        <v>30</v>
      </c>
      <c r="J45" s="16" t="s">
        <v>235</v>
      </c>
      <c r="K45" s="16" t="s">
        <v>30</v>
      </c>
      <c r="L45" s="16" t="s">
        <v>235</v>
      </c>
      <c r="M45" s="16" t="s">
        <v>30</v>
      </c>
      <c r="N45" s="16" t="s">
        <v>235</v>
      </c>
      <c r="O45" s="16" t="s">
        <v>30</v>
      </c>
      <c r="P45" s="16" t="s">
        <v>235</v>
      </c>
      <c r="Q45" s="16" t="s">
        <v>30</v>
      </c>
      <c r="R45" s="16" t="s">
        <v>235</v>
      </c>
      <c r="S45" s="16" t="s">
        <v>30</v>
      </c>
      <c r="T45" s="16" t="s">
        <v>235</v>
      </c>
      <c r="U45" s="16" t="s">
        <v>30</v>
      </c>
      <c r="V45" s="16" t="s">
        <v>235</v>
      </c>
      <c r="W45" s="16" t="s">
        <v>30</v>
      </c>
      <c r="X45" s="16" t="s">
        <v>235</v>
      </c>
      <c r="Y45" s="16" t="s">
        <v>30</v>
      </c>
      <c r="Z45" s="16" t="s">
        <v>235</v>
      </c>
      <c r="AA45" s="16" t="s">
        <v>30</v>
      </c>
      <c r="AB45" s="16" t="s">
        <v>235</v>
      </c>
      <c r="AC45" s="16" t="s">
        <v>30</v>
      </c>
      <c r="AD45" s="16" t="s">
        <v>235</v>
      </c>
      <c r="AE45" s="16" t="s">
        <v>30</v>
      </c>
      <c r="AF45" s="16" t="s">
        <v>235</v>
      </c>
      <c r="AG45" s="16" t="s">
        <v>30</v>
      </c>
      <c r="AH45" s="16" t="s">
        <v>235</v>
      </c>
      <c r="AI45" s="16" t="s">
        <v>30</v>
      </c>
      <c r="AJ45" s="16" t="s">
        <v>235</v>
      </c>
      <c r="AK45" s="16" t="s">
        <v>30</v>
      </c>
      <c r="AL45" s="16" t="s">
        <v>235</v>
      </c>
      <c r="AM45" s="16" t="s">
        <v>30</v>
      </c>
      <c r="AN45" s="16" t="s">
        <v>235</v>
      </c>
      <c r="AO45" s="16" t="s">
        <v>30</v>
      </c>
      <c r="AP45" s="16" t="s">
        <v>235</v>
      </c>
      <c r="AQ45" s="16" t="s">
        <v>30</v>
      </c>
      <c r="AR45" s="16" t="s">
        <v>235</v>
      </c>
      <c r="AS45" s="16" t="s">
        <v>30</v>
      </c>
      <c r="AT45" s="16" t="s">
        <v>235</v>
      </c>
      <c r="AU45" s="16" t="s">
        <v>30</v>
      </c>
      <c r="AV45" s="16" t="s">
        <v>235</v>
      </c>
      <c r="AW45" s="16" t="s">
        <v>30</v>
      </c>
      <c r="AX45" s="16" t="s">
        <v>235</v>
      </c>
      <c r="AY45" s="16" t="s">
        <v>30</v>
      </c>
      <c r="AZ45" s="16" t="s">
        <v>235</v>
      </c>
      <c r="BA45" s="16" t="s">
        <v>30</v>
      </c>
      <c r="BB45" s="16" t="s">
        <v>235</v>
      </c>
      <c r="BC45" s="16" t="s">
        <v>30</v>
      </c>
      <c r="BD45" s="16" t="s">
        <v>235</v>
      </c>
      <c r="BE45" s="16" t="s">
        <v>30</v>
      </c>
      <c r="BF45" s="16" t="s">
        <v>235</v>
      </c>
      <c r="BG45" s="16" t="s">
        <v>30</v>
      </c>
      <c r="BH45" s="16" t="s">
        <v>235</v>
      </c>
      <c r="BI45" s="16" t="s">
        <v>30</v>
      </c>
      <c r="BJ45" s="16" t="s">
        <v>235</v>
      </c>
      <c r="BK45" s="16" t="s">
        <v>30</v>
      </c>
      <c r="BL45" s="16" t="s">
        <v>235</v>
      </c>
      <c r="BM45" s="16" t="s">
        <v>30</v>
      </c>
      <c r="BN45" s="16" t="s">
        <v>235</v>
      </c>
      <c r="BO45" s="16" t="s">
        <v>30</v>
      </c>
      <c r="BP45" s="16" t="s">
        <v>235</v>
      </c>
      <c r="BQ45" s="16" t="s">
        <v>30</v>
      </c>
      <c r="BR45" s="16" t="s">
        <v>235</v>
      </c>
      <c r="BS45" s="16" t="s">
        <v>30</v>
      </c>
      <c r="BT45" s="16" t="s">
        <v>235</v>
      </c>
      <c r="BU45" s="16" t="s">
        <v>30</v>
      </c>
      <c r="BV45" s="16" t="s">
        <v>235</v>
      </c>
      <c r="BW45" s="16" t="s">
        <v>30</v>
      </c>
      <c r="BX45" s="16" t="s">
        <v>235</v>
      </c>
      <c r="BY45" s="16" t="s">
        <v>30</v>
      </c>
      <c r="BZ45" s="16" t="s">
        <v>235</v>
      </c>
      <c r="CA45" s="16" t="s">
        <v>30</v>
      </c>
      <c r="CB45" s="16" t="s">
        <v>235</v>
      </c>
      <c r="CC45" s="16" t="s">
        <v>30</v>
      </c>
      <c r="CD45" s="16" t="s">
        <v>235</v>
      </c>
      <c r="CE45" s="16" t="s">
        <v>30</v>
      </c>
      <c r="CF45" s="16" t="s">
        <v>235</v>
      </c>
      <c r="CG45" s="16" t="s">
        <v>30</v>
      </c>
      <c r="CH45" s="16" t="s">
        <v>235</v>
      </c>
      <c r="CI45" s="16" t="s">
        <v>30</v>
      </c>
      <c r="CJ45" s="16" t="s">
        <v>235</v>
      </c>
      <c r="CK45" s="16" t="s">
        <v>30</v>
      </c>
      <c r="CL45" s="16" t="s">
        <v>235</v>
      </c>
      <c r="CM45" s="16" t="s">
        <v>30</v>
      </c>
      <c r="CN45" s="16" t="s">
        <v>235</v>
      </c>
      <c r="CO45" s="16" t="s">
        <v>30</v>
      </c>
      <c r="CP45" s="16" t="s">
        <v>235</v>
      </c>
      <c r="CQ45" s="16" t="s">
        <v>30</v>
      </c>
      <c r="CR45" s="16" t="s">
        <v>235</v>
      </c>
      <c r="CS45" s="16" t="s">
        <v>30</v>
      </c>
      <c r="CT45" s="16" t="s">
        <v>235</v>
      </c>
      <c r="CU45" s="16" t="s">
        <v>30</v>
      </c>
      <c r="CV45" s="16" t="s">
        <v>235</v>
      </c>
      <c r="CW45" s="16" t="s">
        <v>30</v>
      </c>
      <c r="CX45" s="16" t="s">
        <v>235</v>
      </c>
      <c r="CY45" s="16" t="s">
        <v>30</v>
      </c>
      <c r="CZ45" s="16" t="s">
        <v>235</v>
      </c>
      <c r="DA45" s="16" t="s">
        <v>30</v>
      </c>
      <c r="DB45" s="16" t="s">
        <v>235</v>
      </c>
      <c r="DC45" s="16" t="s">
        <v>30</v>
      </c>
      <c r="DD45" s="16" t="s">
        <v>235</v>
      </c>
      <c r="DE45" s="16" t="s">
        <v>30</v>
      </c>
      <c r="DF45" s="16" t="s">
        <v>235</v>
      </c>
      <c r="DG45" s="16" t="s">
        <v>30</v>
      </c>
      <c r="DH45" s="16" t="s">
        <v>235</v>
      </c>
      <c r="DI45" s="16" t="s">
        <v>30</v>
      </c>
      <c r="DJ45" s="16" t="s">
        <v>235</v>
      </c>
      <c r="DK45" s="16" t="s">
        <v>30</v>
      </c>
      <c r="DL45" s="16" t="s">
        <v>235</v>
      </c>
      <c r="DM45" s="16" t="s">
        <v>30</v>
      </c>
      <c r="DN45" s="16" t="s">
        <v>235</v>
      </c>
      <c r="DO45" s="16" t="s">
        <v>30</v>
      </c>
      <c r="DP45" s="16" t="s">
        <v>235</v>
      </c>
      <c r="DQ45" s="16" t="s">
        <v>30</v>
      </c>
      <c r="DR45" s="16" t="s">
        <v>235</v>
      </c>
      <c r="DS45" s="16" t="s">
        <v>30</v>
      </c>
      <c r="DT45" s="16" t="s">
        <v>235</v>
      </c>
      <c r="DU45" s="16" t="s">
        <v>30</v>
      </c>
      <c r="DV45" s="16" t="s">
        <v>235</v>
      </c>
      <c r="DW45" s="16" t="s">
        <v>30</v>
      </c>
      <c r="DX45" s="16" t="s">
        <v>235</v>
      </c>
      <c r="DY45" s="16" t="s">
        <v>30</v>
      </c>
      <c r="DZ45" s="16" t="s">
        <v>235</v>
      </c>
      <c r="EA45" s="16" t="s">
        <v>30</v>
      </c>
      <c r="EB45" s="16" t="s">
        <v>235</v>
      </c>
      <c r="EC45" s="16" t="s">
        <v>30</v>
      </c>
      <c r="ED45" s="16" t="s">
        <v>235</v>
      </c>
      <c r="EE45" s="16" t="s">
        <v>30</v>
      </c>
      <c r="EF45" s="16" t="s">
        <v>235</v>
      </c>
      <c r="EG45" s="16" t="s">
        <v>30</v>
      </c>
      <c r="EH45" s="16" t="s">
        <v>235</v>
      </c>
      <c r="EI45" s="16" t="s">
        <v>30</v>
      </c>
      <c r="EJ45" s="16" t="s">
        <v>235</v>
      </c>
      <c r="EK45" s="16" t="s">
        <v>30</v>
      </c>
      <c r="EL45" s="16" t="s">
        <v>235</v>
      </c>
      <c r="EM45" s="16" t="s">
        <v>30</v>
      </c>
      <c r="EN45" s="16" t="s">
        <v>235</v>
      </c>
      <c r="EO45" s="16" t="s">
        <v>30</v>
      </c>
      <c r="EP45" s="16" t="s">
        <v>235</v>
      </c>
      <c r="EQ45" s="16" t="s">
        <v>30</v>
      </c>
      <c r="ER45" s="16" t="s">
        <v>235</v>
      </c>
      <c r="ES45" s="16" t="s">
        <v>30</v>
      </c>
      <c r="ET45" s="16" t="s">
        <v>235</v>
      </c>
      <c r="EU45" s="16" t="s">
        <v>30</v>
      </c>
      <c r="EV45" s="16" t="s">
        <v>235</v>
      </c>
      <c r="EW45" s="16" t="s">
        <v>30</v>
      </c>
      <c r="EX45" s="16" t="s">
        <v>235</v>
      </c>
      <c r="EY45" s="16" t="s">
        <v>30</v>
      </c>
      <c r="EZ45" s="16" t="s">
        <v>235</v>
      </c>
      <c r="FA45" s="16" t="s">
        <v>30</v>
      </c>
      <c r="FB45" s="16" t="s">
        <v>235</v>
      </c>
      <c r="FC45" s="16" t="s">
        <v>30</v>
      </c>
      <c r="FD45" s="16" t="s">
        <v>235</v>
      </c>
      <c r="FE45" s="16" t="s">
        <v>30</v>
      </c>
      <c r="FF45" s="16" t="s">
        <v>235</v>
      </c>
      <c r="FG45" s="16" t="s">
        <v>30</v>
      </c>
      <c r="FH45" s="16" t="s">
        <v>235</v>
      </c>
      <c r="FI45" s="16" t="s">
        <v>30</v>
      </c>
      <c r="FJ45" s="16" t="s">
        <v>235</v>
      </c>
      <c r="FK45" s="16" t="s">
        <v>30</v>
      </c>
      <c r="FL45" s="16" t="s">
        <v>235</v>
      </c>
      <c r="FM45" s="16" t="s">
        <v>30</v>
      </c>
      <c r="FN45" s="16" t="s">
        <v>235</v>
      </c>
      <c r="FO45" s="16" t="s">
        <v>30</v>
      </c>
      <c r="FP45" s="16" t="s">
        <v>235</v>
      </c>
      <c r="FQ45" s="16" t="s">
        <v>30</v>
      </c>
      <c r="FR45" s="16" t="s">
        <v>235</v>
      </c>
      <c r="FS45" s="16" t="s">
        <v>30</v>
      </c>
      <c r="FT45" s="16" t="s">
        <v>235</v>
      </c>
      <c r="FU45" s="16" t="s">
        <v>30</v>
      </c>
      <c r="FV45" s="16" t="s">
        <v>235</v>
      </c>
      <c r="FW45" s="16" t="s">
        <v>30</v>
      </c>
      <c r="FX45" s="16" t="s">
        <v>235</v>
      </c>
      <c r="FY45" s="16" t="s">
        <v>30</v>
      </c>
      <c r="FZ45" s="16" t="s">
        <v>235</v>
      </c>
      <c r="GA45" s="16" t="s">
        <v>30</v>
      </c>
      <c r="GB45" s="16" t="s">
        <v>235</v>
      </c>
      <c r="GC45" s="16" t="s">
        <v>30</v>
      </c>
      <c r="GD45" s="16" t="s">
        <v>235</v>
      </c>
      <c r="GE45" s="16" t="s">
        <v>30</v>
      </c>
      <c r="GF45" s="16" t="s">
        <v>235</v>
      </c>
      <c r="GG45" s="16" t="s">
        <v>30</v>
      </c>
      <c r="GH45" s="16" t="s">
        <v>235</v>
      </c>
      <c r="GI45" s="16" t="s">
        <v>30</v>
      </c>
      <c r="GJ45" s="16" t="s">
        <v>235</v>
      </c>
      <c r="GK45" s="16" t="s">
        <v>30</v>
      </c>
      <c r="GL45" s="16" t="s">
        <v>235</v>
      </c>
      <c r="GM45" s="16" t="s">
        <v>30</v>
      </c>
      <c r="GN45" s="16" t="s">
        <v>235</v>
      </c>
      <c r="GO45" s="16" t="s">
        <v>30</v>
      </c>
      <c r="GP45" s="16" t="s">
        <v>235</v>
      </c>
      <c r="GQ45" s="16" t="s">
        <v>30</v>
      </c>
      <c r="GR45" s="16" t="s">
        <v>235</v>
      </c>
      <c r="GS45" s="16" t="s">
        <v>30</v>
      </c>
      <c r="GT45" s="17">
        <v>90952.9</v>
      </c>
      <c r="GU45" s="16" t="s">
        <v>30</v>
      </c>
      <c r="GV45" s="17">
        <v>92176.9</v>
      </c>
      <c r="GW45" s="16" t="s">
        <v>30</v>
      </c>
      <c r="GX45" s="17">
        <v>92356.7</v>
      </c>
      <c r="GY45" s="16" t="s">
        <v>30</v>
      </c>
      <c r="GZ45" s="17">
        <v>88724.6</v>
      </c>
      <c r="HA45" s="16" t="s">
        <v>30</v>
      </c>
      <c r="HB45" s="18">
        <v>84363</v>
      </c>
      <c r="HC45" s="16" t="s">
        <v>30</v>
      </c>
      <c r="HD45" s="17">
        <v>88246.1</v>
      </c>
      <c r="HE45" s="16" t="s">
        <v>30</v>
      </c>
      <c r="HF45" s="17">
        <v>86247.7</v>
      </c>
      <c r="HG45" s="16" t="s">
        <v>30</v>
      </c>
      <c r="HH45" s="17">
        <v>95549.8</v>
      </c>
      <c r="HI45" s="16" t="s">
        <v>30</v>
      </c>
      <c r="HJ45" s="17">
        <v>86238.7</v>
      </c>
      <c r="HK45" s="16" t="s">
        <v>30</v>
      </c>
      <c r="HL45" s="17">
        <v>87617.5</v>
      </c>
      <c r="HM45" s="16" t="s">
        <v>30</v>
      </c>
      <c r="HN45" s="17">
        <v>88499.9</v>
      </c>
      <c r="HO45" s="16" t="s">
        <v>30</v>
      </c>
      <c r="HP45" s="17">
        <v>96209.600000000006</v>
      </c>
      <c r="HQ45" s="16" t="s">
        <v>30</v>
      </c>
      <c r="HR45" s="17">
        <v>85767.5</v>
      </c>
      <c r="HS45" s="16" t="s">
        <v>30</v>
      </c>
      <c r="HT45" s="17">
        <v>89866.3</v>
      </c>
      <c r="HU45" s="16" t="s">
        <v>30</v>
      </c>
      <c r="HV45" s="17">
        <v>91202.4</v>
      </c>
      <c r="HW45" s="16" t="s">
        <v>30</v>
      </c>
      <c r="HX45" s="17">
        <v>100971.6</v>
      </c>
      <c r="HY45" s="16" t="s">
        <v>30</v>
      </c>
      <c r="HZ45" s="17">
        <v>84472.7</v>
      </c>
      <c r="IA45" s="16" t="s">
        <v>30</v>
      </c>
      <c r="IB45" s="17">
        <v>90694.6</v>
      </c>
      <c r="IC45" s="16" t="s">
        <v>30</v>
      </c>
      <c r="ID45" s="17">
        <v>96185.4</v>
      </c>
      <c r="IE45" s="16" t="s">
        <v>30</v>
      </c>
      <c r="IF45" s="17">
        <v>113527.2</v>
      </c>
      <c r="IG45" s="16" t="s">
        <v>30</v>
      </c>
      <c r="IH45" s="17">
        <v>87413.3</v>
      </c>
      <c r="II45" s="16" t="s">
        <v>30</v>
      </c>
      <c r="IJ45" s="17">
        <v>96961.1</v>
      </c>
      <c r="IK45" s="16" t="s">
        <v>30</v>
      </c>
      <c r="IL45" s="18">
        <v>101002</v>
      </c>
      <c r="IM45" s="16" t="s">
        <v>30</v>
      </c>
      <c r="IN45" s="17">
        <v>115664.3</v>
      </c>
      <c r="IO45" s="16" t="s">
        <v>30</v>
      </c>
      <c r="IP45" s="17">
        <v>96308.6</v>
      </c>
      <c r="IQ45" s="16" t="s">
        <v>30</v>
      </c>
      <c r="IR45" s="17">
        <v>104300.3</v>
      </c>
      <c r="IS45" s="16" t="s">
        <v>30</v>
      </c>
      <c r="IT45" s="18">
        <v>104866</v>
      </c>
      <c r="IU45" s="16" t="s">
        <v>30</v>
      </c>
      <c r="IV45" s="17">
        <v>113697.9</v>
      </c>
      <c r="IW45" s="16" t="s">
        <v>30</v>
      </c>
      <c r="IX45" s="17">
        <v>100585.1</v>
      </c>
      <c r="IY45" s="16" t="s">
        <v>30</v>
      </c>
      <c r="IZ45" s="17">
        <v>108772.5</v>
      </c>
      <c r="JA45" s="16" t="s">
        <v>30</v>
      </c>
      <c r="JB45" s="17">
        <v>113309.5</v>
      </c>
      <c r="JC45" s="16" t="s">
        <v>30</v>
      </c>
      <c r="JD45" s="17">
        <v>121373.1</v>
      </c>
      <c r="JE45" s="16" t="s">
        <v>30</v>
      </c>
      <c r="JF45" s="17">
        <v>102770.1</v>
      </c>
      <c r="JG45" s="16" t="s">
        <v>30</v>
      </c>
      <c r="JH45" s="17">
        <v>112462.7</v>
      </c>
      <c r="JI45" s="16" t="s">
        <v>30</v>
      </c>
      <c r="JJ45" s="17">
        <v>120315.3</v>
      </c>
      <c r="JK45" s="16" t="s">
        <v>30</v>
      </c>
      <c r="JL45" s="17">
        <v>133923.1</v>
      </c>
      <c r="JM45" s="16" t="s">
        <v>30</v>
      </c>
      <c r="JN45" s="17">
        <v>105033.1</v>
      </c>
      <c r="JO45" s="16" t="s">
        <v>30</v>
      </c>
      <c r="JP45" s="17">
        <v>116379.4</v>
      </c>
      <c r="JQ45" s="16" t="s">
        <v>30</v>
      </c>
      <c r="JR45" s="18">
        <v>119452</v>
      </c>
      <c r="JS45" s="16" t="s">
        <v>30</v>
      </c>
      <c r="JT45" s="17">
        <v>127192.1</v>
      </c>
      <c r="JU45" s="16" t="s">
        <v>30</v>
      </c>
      <c r="JV45" s="18">
        <v>115566</v>
      </c>
      <c r="JW45" s="16" t="s">
        <v>30</v>
      </c>
      <c r="JX45" s="17">
        <v>120671.6</v>
      </c>
      <c r="JY45" s="16" t="s">
        <v>30</v>
      </c>
      <c r="JZ45" s="17">
        <v>125559.6</v>
      </c>
      <c r="KA45" s="16" t="s">
        <v>30</v>
      </c>
      <c r="KB45" s="17">
        <v>122225.7</v>
      </c>
      <c r="KC45" s="16" t="s">
        <v>30</v>
      </c>
      <c r="KD45" s="17">
        <v>115430.5</v>
      </c>
      <c r="KE45" s="16" t="s">
        <v>30</v>
      </c>
      <c r="KF45" s="17">
        <v>123441.1</v>
      </c>
      <c r="KG45" s="16" t="s">
        <v>30</v>
      </c>
      <c r="KH45" s="17">
        <v>126244.1</v>
      </c>
      <c r="KI45" s="16" t="s">
        <v>30</v>
      </c>
      <c r="KJ45" s="17">
        <v>128344.8</v>
      </c>
      <c r="KK45" s="16" t="s">
        <v>30</v>
      </c>
      <c r="KL45" s="17">
        <v>115682.8</v>
      </c>
      <c r="KM45" s="16" t="s">
        <v>30</v>
      </c>
      <c r="KN45" s="17">
        <v>123166.2</v>
      </c>
      <c r="KO45" s="16" t="s">
        <v>30</v>
      </c>
      <c r="KP45" s="17">
        <v>124947.8</v>
      </c>
      <c r="KQ45" s="16" t="s">
        <v>30</v>
      </c>
      <c r="KR45" s="17">
        <v>126376.4</v>
      </c>
      <c r="KS45" s="16" t="s">
        <v>30</v>
      </c>
      <c r="KT45" s="17">
        <v>118462.8</v>
      </c>
      <c r="KU45" s="16" t="s">
        <v>30</v>
      </c>
      <c r="KV45" s="18">
        <v>127836</v>
      </c>
      <c r="KW45" s="16" t="s">
        <v>30</v>
      </c>
      <c r="KX45" s="17">
        <v>130960.9</v>
      </c>
      <c r="KY45" s="16" t="s">
        <v>30</v>
      </c>
      <c r="KZ45" s="17">
        <v>132102.5</v>
      </c>
      <c r="LA45" s="16" t="s">
        <v>30</v>
      </c>
      <c r="LB45" s="17">
        <v>126411.7</v>
      </c>
      <c r="LC45" s="16" t="s">
        <v>30</v>
      </c>
      <c r="LD45" s="17">
        <v>136333.5</v>
      </c>
      <c r="LE45" s="16" t="s">
        <v>30</v>
      </c>
      <c r="LF45" s="18">
        <v>136448</v>
      </c>
      <c r="LG45" s="16" t="s">
        <v>30</v>
      </c>
      <c r="LH45" s="17">
        <v>135557.5</v>
      </c>
      <c r="LI45" s="16" t="s">
        <v>30</v>
      </c>
      <c r="LJ45" s="17">
        <v>131656.1</v>
      </c>
      <c r="LK45" s="16" t="s">
        <v>30</v>
      </c>
      <c r="LL45" s="17">
        <v>138643.1</v>
      </c>
      <c r="LM45" s="16" t="s">
        <v>30</v>
      </c>
      <c r="LN45" s="17">
        <v>142928.6</v>
      </c>
      <c r="LO45" s="16" t="s">
        <v>30</v>
      </c>
      <c r="LP45" s="17">
        <v>145269.20000000001</v>
      </c>
      <c r="LQ45" s="16" t="s">
        <v>30</v>
      </c>
      <c r="LR45" s="17">
        <v>132781.4</v>
      </c>
      <c r="LS45" s="16" t="s">
        <v>30</v>
      </c>
      <c r="LT45" s="17">
        <v>141360.6</v>
      </c>
      <c r="LU45" s="16" t="s">
        <v>30</v>
      </c>
      <c r="LV45" s="17">
        <v>146059.70000000001</v>
      </c>
      <c r="LW45" s="16" t="s">
        <v>30</v>
      </c>
      <c r="LX45" s="17">
        <v>149605.4</v>
      </c>
      <c r="LY45" s="16" t="s">
        <v>30</v>
      </c>
      <c r="LZ45" s="18">
        <v>137893</v>
      </c>
      <c r="MA45" s="16" t="s">
        <v>30</v>
      </c>
      <c r="MB45" s="17">
        <v>140751.20000000001</v>
      </c>
      <c r="MC45" s="16" t="s">
        <v>30</v>
      </c>
      <c r="MD45" s="17">
        <v>146192.70000000001</v>
      </c>
      <c r="ME45" s="16" t="s">
        <v>30</v>
      </c>
      <c r="MF45" s="17">
        <v>150192.79999999999</v>
      </c>
      <c r="MG45" s="16" t="s">
        <v>30</v>
      </c>
      <c r="MH45" s="17">
        <v>139957.9</v>
      </c>
      <c r="MI45" s="16" t="s">
        <v>30</v>
      </c>
      <c r="MJ45" s="18">
        <v>145259</v>
      </c>
      <c r="MK45" s="16" t="s">
        <v>30</v>
      </c>
      <c r="ML45" s="18">
        <v>149451</v>
      </c>
      <c r="MM45" s="16" t="s">
        <v>30</v>
      </c>
      <c r="MN45" s="17">
        <v>157150.6</v>
      </c>
      <c r="MO45" s="16" t="s">
        <v>30</v>
      </c>
      <c r="MP45" s="17">
        <v>142582.6</v>
      </c>
      <c r="MQ45" s="16" t="s">
        <v>30</v>
      </c>
      <c r="MR45" s="17">
        <v>151463.79999999999</v>
      </c>
      <c r="MS45" s="16" t="s">
        <v>30</v>
      </c>
      <c r="MT45" s="17">
        <v>156741.29999999999</v>
      </c>
      <c r="MU45" s="16" t="s">
        <v>30</v>
      </c>
      <c r="MV45" s="17">
        <v>163733.79999999999</v>
      </c>
      <c r="MW45" s="16" t="s">
        <v>30</v>
      </c>
      <c r="MX45" s="18">
        <v>141919</v>
      </c>
      <c r="MY45" s="16" t="s">
        <v>30</v>
      </c>
      <c r="MZ45" s="17">
        <v>130048.3</v>
      </c>
      <c r="NA45" s="16" t="s">
        <v>30</v>
      </c>
      <c r="NB45" s="18">
        <v>152213</v>
      </c>
      <c r="NC45" s="16" t="s">
        <v>30</v>
      </c>
      <c r="ND45" s="18">
        <v>163901</v>
      </c>
      <c r="NE45" s="16" t="s">
        <v>30</v>
      </c>
      <c r="NF45" s="17">
        <v>139351.29999999999</v>
      </c>
      <c r="NG45" s="16" t="s">
        <v>30</v>
      </c>
      <c r="NH45" s="17">
        <v>146066.20000000001</v>
      </c>
      <c r="NI45" s="16" t="s">
        <v>30</v>
      </c>
      <c r="NJ45" s="17">
        <v>158047.4</v>
      </c>
      <c r="NK45" s="16" t="s">
        <v>30</v>
      </c>
      <c r="NL45" s="17">
        <v>168195.6</v>
      </c>
      <c r="NM45" s="16" t="s">
        <v>30</v>
      </c>
      <c r="NN45" s="17">
        <v>142649.29999999999</v>
      </c>
      <c r="NO45" s="16" t="s">
        <v>30</v>
      </c>
      <c r="NP45" s="18">
        <v>152164</v>
      </c>
      <c r="NQ45" s="16" t="s">
        <v>30</v>
      </c>
      <c r="NR45" s="17">
        <v>162206.39999999999</v>
      </c>
      <c r="NS45" s="16" t="s">
        <v>30</v>
      </c>
      <c r="NT45" s="17">
        <v>172177.3</v>
      </c>
      <c r="NU45" s="16" t="s">
        <v>30</v>
      </c>
      <c r="NV45" s="17">
        <v>145157.29999999999</v>
      </c>
      <c r="NW45" s="16" t="s">
        <v>237</v>
      </c>
      <c r="NX45" s="17">
        <v>156288.29999999999</v>
      </c>
      <c r="NY45" s="16" t="s">
        <v>237</v>
      </c>
      <c r="NZ45" s="18">
        <v>166210</v>
      </c>
      <c r="OA45" s="16" t="s">
        <v>237</v>
      </c>
      <c r="OB45" s="17">
        <v>176164.6</v>
      </c>
      <c r="OC45" s="16" t="s">
        <v>237</v>
      </c>
      <c r="OD45" s="18">
        <v>148079</v>
      </c>
      <c r="OE45" s="16" t="s">
        <v>271</v>
      </c>
      <c r="OF45" s="17">
        <v>160346.20000000001</v>
      </c>
      <c r="OG45" s="16" t="s">
        <v>271</v>
      </c>
      <c r="OH45" s="18">
        <v>170536</v>
      </c>
      <c r="OI45" s="16" t="s">
        <v>271</v>
      </c>
      <c r="OJ45" s="17">
        <v>181661.6</v>
      </c>
      <c r="OK45" s="16" t="s">
        <v>271</v>
      </c>
      <c r="OL45" s="17">
        <v>151930.5</v>
      </c>
      <c r="OM45" s="16" t="s">
        <v>271</v>
      </c>
      <c r="ON45" s="17">
        <v>165431.29999999999</v>
      </c>
      <c r="OO45" s="16" t="s">
        <v>271</v>
      </c>
      <c r="OP45" s="16" t="s">
        <v>235</v>
      </c>
      <c r="OQ45" s="16" t="s">
        <v>30</v>
      </c>
    </row>
    <row r="46" spans="1:407" x14ac:dyDescent="0.3">
      <c r="A46" s="12" t="s">
        <v>272</v>
      </c>
      <c r="B46" s="13" t="s">
        <v>235</v>
      </c>
      <c r="C46" s="13" t="s">
        <v>30</v>
      </c>
      <c r="D46" s="13" t="s">
        <v>235</v>
      </c>
      <c r="E46" s="13" t="s">
        <v>30</v>
      </c>
      <c r="F46" s="13" t="s">
        <v>235</v>
      </c>
      <c r="G46" s="13" t="s">
        <v>30</v>
      </c>
      <c r="H46" s="13" t="s">
        <v>235</v>
      </c>
      <c r="I46" s="13" t="s">
        <v>30</v>
      </c>
      <c r="J46" s="13" t="s">
        <v>235</v>
      </c>
      <c r="K46" s="13" t="s">
        <v>30</v>
      </c>
      <c r="L46" s="13" t="s">
        <v>235</v>
      </c>
      <c r="M46" s="13" t="s">
        <v>30</v>
      </c>
      <c r="N46" s="13" t="s">
        <v>235</v>
      </c>
      <c r="O46" s="13" t="s">
        <v>30</v>
      </c>
      <c r="P46" s="13" t="s">
        <v>235</v>
      </c>
      <c r="Q46" s="13" t="s">
        <v>30</v>
      </c>
      <c r="R46" s="13" t="s">
        <v>235</v>
      </c>
      <c r="S46" s="13" t="s">
        <v>30</v>
      </c>
      <c r="T46" s="13" t="s">
        <v>235</v>
      </c>
      <c r="U46" s="13" t="s">
        <v>30</v>
      </c>
      <c r="V46" s="13" t="s">
        <v>235</v>
      </c>
      <c r="W46" s="13" t="s">
        <v>30</v>
      </c>
      <c r="X46" s="13" t="s">
        <v>235</v>
      </c>
      <c r="Y46" s="13" t="s">
        <v>30</v>
      </c>
      <c r="Z46" s="13" t="s">
        <v>235</v>
      </c>
      <c r="AA46" s="13" t="s">
        <v>30</v>
      </c>
      <c r="AB46" s="13" t="s">
        <v>235</v>
      </c>
      <c r="AC46" s="13" t="s">
        <v>30</v>
      </c>
      <c r="AD46" s="13" t="s">
        <v>235</v>
      </c>
      <c r="AE46" s="13" t="s">
        <v>30</v>
      </c>
      <c r="AF46" s="13" t="s">
        <v>235</v>
      </c>
      <c r="AG46" s="13" t="s">
        <v>30</v>
      </c>
      <c r="AH46" s="13" t="s">
        <v>235</v>
      </c>
      <c r="AI46" s="13" t="s">
        <v>30</v>
      </c>
      <c r="AJ46" s="13" t="s">
        <v>235</v>
      </c>
      <c r="AK46" s="13" t="s">
        <v>30</v>
      </c>
      <c r="AL46" s="13" t="s">
        <v>235</v>
      </c>
      <c r="AM46" s="13" t="s">
        <v>30</v>
      </c>
      <c r="AN46" s="13" t="s">
        <v>235</v>
      </c>
      <c r="AO46" s="13" t="s">
        <v>30</v>
      </c>
      <c r="AP46" s="13" t="s">
        <v>235</v>
      </c>
      <c r="AQ46" s="13" t="s">
        <v>30</v>
      </c>
      <c r="AR46" s="13" t="s">
        <v>235</v>
      </c>
      <c r="AS46" s="13" t="s">
        <v>30</v>
      </c>
      <c r="AT46" s="13" t="s">
        <v>235</v>
      </c>
      <c r="AU46" s="13" t="s">
        <v>30</v>
      </c>
      <c r="AV46" s="13" t="s">
        <v>235</v>
      </c>
      <c r="AW46" s="13" t="s">
        <v>30</v>
      </c>
      <c r="AX46" s="13" t="s">
        <v>235</v>
      </c>
      <c r="AY46" s="13" t="s">
        <v>30</v>
      </c>
      <c r="AZ46" s="13" t="s">
        <v>235</v>
      </c>
      <c r="BA46" s="13" t="s">
        <v>30</v>
      </c>
      <c r="BB46" s="13" t="s">
        <v>235</v>
      </c>
      <c r="BC46" s="13" t="s">
        <v>30</v>
      </c>
      <c r="BD46" s="13" t="s">
        <v>235</v>
      </c>
      <c r="BE46" s="13" t="s">
        <v>30</v>
      </c>
      <c r="BF46" s="13" t="s">
        <v>235</v>
      </c>
      <c r="BG46" s="13" t="s">
        <v>30</v>
      </c>
      <c r="BH46" s="13" t="s">
        <v>235</v>
      </c>
      <c r="BI46" s="13" t="s">
        <v>30</v>
      </c>
      <c r="BJ46" s="13" t="s">
        <v>235</v>
      </c>
      <c r="BK46" s="13" t="s">
        <v>30</v>
      </c>
      <c r="BL46" s="13" t="s">
        <v>235</v>
      </c>
      <c r="BM46" s="13" t="s">
        <v>30</v>
      </c>
      <c r="BN46" s="13" t="s">
        <v>235</v>
      </c>
      <c r="BO46" s="13" t="s">
        <v>30</v>
      </c>
      <c r="BP46" s="13" t="s">
        <v>235</v>
      </c>
      <c r="BQ46" s="13" t="s">
        <v>30</v>
      </c>
      <c r="BR46" s="13" t="s">
        <v>235</v>
      </c>
      <c r="BS46" s="13" t="s">
        <v>30</v>
      </c>
      <c r="BT46" s="13" t="s">
        <v>235</v>
      </c>
      <c r="BU46" s="13" t="s">
        <v>30</v>
      </c>
      <c r="BV46" s="13" t="s">
        <v>235</v>
      </c>
      <c r="BW46" s="13" t="s">
        <v>30</v>
      </c>
      <c r="BX46" s="13" t="s">
        <v>235</v>
      </c>
      <c r="BY46" s="13" t="s">
        <v>30</v>
      </c>
      <c r="BZ46" s="13" t="s">
        <v>235</v>
      </c>
      <c r="CA46" s="13" t="s">
        <v>30</v>
      </c>
      <c r="CB46" s="13" t="s">
        <v>235</v>
      </c>
      <c r="CC46" s="13" t="s">
        <v>30</v>
      </c>
      <c r="CD46" s="13" t="s">
        <v>235</v>
      </c>
      <c r="CE46" s="13" t="s">
        <v>30</v>
      </c>
      <c r="CF46" s="13" t="s">
        <v>235</v>
      </c>
      <c r="CG46" s="13" t="s">
        <v>30</v>
      </c>
      <c r="CH46" s="13" t="s">
        <v>235</v>
      </c>
      <c r="CI46" s="13" t="s">
        <v>30</v>
      </c>
      <c r="CJ46" s="13" t="s">
        <v>235</v>
      </c>
      <c r="CK46" s="13" t="s">
        <v>30</v>
      </c>
      <c r="CL46" s="13" t="s">
        <v>235</v>
      </c>
      <c r="CM46" s="13" t="s">
        <v>30</v>
      </c>
      <c r="CN46" s="13" t="s">
        <v>235</v>
      </c>
      <c r="CO46" s="13" t="s">
        <v>30</v>
      </c>
      <c r="CP46" s="13" t="s">
        <v>235</v>
      </c>
      <c r="CQ46" s="13" t="s">
        <v>30</v>
      </c>
      <c r="CR46" s="13" t="s">
        <v>235</v>
      </c>
      <c r="CS46" s="13" t="s">
        <v>30</v>
      </c>
      <c r="CT46" s="13" t="s">
        <v>235</v>
      </c>
      <c r="CU46" s="13" t="s">
        <v>30</v>
      </c>
      <c r="CV46" s="13" t="s">
        <v>235</v>
      </c>
      <c r="CW46" s="13" t="s">
        <v>30</v>
      </c>
      <c r="CX46" s="13" t="s">
        <v>235</v>
      </c>
      <c r="CY46" s="13" t="s">
        <v>30</v>
      </c>
      <c r="CZ46" s="13" t="s">
        <v>235</v>
      </c>
      <c r="DA46" s="13" t="s">
        <v>30</v>
      </c>
      <c r="DB46" s="13" t="s">
        <v>235</v>
      </c>
      <c r="DC46" s="13" t="s">
        <v>30</v>
      </c>
      <c r="DD46" s="13" t="s">
        <v>235</v>
      </c>
      <c r="DE46" s="13" t="s">
        <v>30</v>
      </c>
      <c r="DF46" s="13" t="s">
        <v>235</v>
      </c>
      <c r="DG46" s="13" t="s">
        <v>30</v>
      </c>
      <c r="DH46" s="13" t="s">
        <v>235</v>
      </c>
      <c r="DI46" s="13" t="s">
        <v>30</v>
      </c>
      <c r="DJ46" s="13" t="s">
        <v>235</v>
      </c>
      <c r="DK46" s="13" t="s">
        <v>30</v>
      </c>
      <c r="DL46" s="13" t="s">
        <v>235</v>
      </c>
      <c r="DM46" s="13" t="s">
        <v>30</v>
      </c>
      <c r="DN46" s="13" t="s">
        <v>235</v>
      </c>
      <c r="DO46" s="13" t="s">
        <v>30</v>
      </c>
      <c r="DP46" s="13" t="s">
        <v>235</v>
      </c>
      <c r="DQ46" s="13" t="s">
        <v>30</v>
      </c>
      <c r="DR46" s="13" t="s">
        <v>235</v>
      </c>
      <c r="DS46" s="13" t="s">
        <v>30</v>
      </c>
      <c r="DT46" s="13" t="s">
        <v>235</v>
      </c>
      <c r="DU46" s="13" t="s">
        <v>30</v>
      </c>
      <c r="DV46" s="13" t="s">
        <v>235</v>
      </c>
      <c r="DW46" s="13" t="s">
        <v>30</v>
      </c>
      <c r="DX46" s="13" t="s">
        <v>235</v>
      </c>
      <c r="DY46" s="13" t="s">
        <v>30</v>
      </c>
      <c r="DZ46" s="13" t="s">
        <v>235</v>
      </c>
      <c r="EA46" s="13" t="s">
        <v>30</v>
      </c>
      <c r="EB46" s="13" t="s">
        <v>235</v>
      </c>
      <c r="EC46" s="13" t="s">
        <v>30</v>
      </c>
      <c r="ED46" s="13" t="s">
        <v>235</v>
      </c>
      <c r="EE46" s="13" t="s">
        <v>30</v>
      </c>
      <c r="EF46" s="13" t="s">
        <v>235</v>
      </c>
      <c r="EG46" s="13" t="s">
        <v>30</v>
      </c>
      <c r="EH46" s="13" t="s">
        <v>235</v>
      </c>
      <c r="EI46" s="13" t="s">
        <v>30</v>
      </c>
      <c r="EJ46" s="13" t="s">
        <v>235</v>
      </c>
      <c r="EK46" s="13" t="s">
        <v>30</v>
      </c>
      <c r="EL46" s="13" t="s">
        <v>235</v>
      </c>
      <c r="EM46" s="13" t="s">
        <v>30</v>
      </c>
      <c r="EN46" s="13" t="s">
        <v>235</v>
      </c>
      <c r="EO46" s="13" t="s">
        <v>30</v>
      </c>
      <c r="EP46" s="13" t="s">
        <v>235</v>
      </c>
      <c r="EQ46" s="13" t="s">
        <v>30</v>
      </c>
      <c r="ER46" s="13" t="s">
        <v>235</v>
      </c>
      <c r="ES46" s="13" t="s">
        <v>30</v>
      </c>
      <c r="ET46" s="13" t="s">
        <v>235</v>
      </c>
      <c r="EU46" s="13" t="s">
        <v>30</v>
      </c>
      <c r="EV46" s="13" t="s">
        <v>235</v>
      </c>
      <c r="EW46" s="13" t="s">
        <v>30</v>
      </c>
      <c r="EX46" s="13" t="s">
        <v>235</v>
      </c>
      <c r="EY46" s="13" t="s">
        <v>30</v>
      </c>
      <c r="EZ46" s="13" t="s">
        <v>235</v>
      </c>
      <c r="FA46" s="13" t="s">
        <v>30</v>
      </c>
      <c r="FB46" s="13" t="s">
        <v>235</v>
      </c>
      <c r="FC46" s="13" t="s">
        <v>30</v>
      </c>
      <c r="FD46" s="13" t="s">
        <v>235</v>
      </c>
      <c r="FE46" s="13" t="s">
        <v>30</v>
      </c>
      <c r="FF46" s="13" t="s">
        <v>235</v>
      </c>
      <c r="FG46" s="13" t="s">
        <v>30</v>
      </c>
      <c r="FH46" s="13" t="s">
        <v>235</v>
      </c>
      <c r="FI46" s="13" t="s">
        <v>30</v>
      </c>
      <c r="FJ46" s="13" t="s">
        <v>235</v>
      </c>
      <c r="FK46" s="13" t="s">
        <v>30</v>
      </c>
      <c r="FL46" s="13" t="s">
        <v>235</v>
      </c>
      <c r="FM46" s="13" t="s">
        <v>30</v>
      </c>
      <c r="FN46" s="14">
        <v>122519.5</v>
      </c>
      <c r="FO46" s="13" t="s">
        <v>30</v>
      </c>
      <c r="FP46" s="14">
        <v>164313.60000000001</v>
      </c>
      <c r="FQ46" s="13" t="s">
        <v>30</v>
      </c>
      <c r="FR46" s="14">
        <v>154149.6</v>
      </c>
      <c r="FS46" s="13" t="s">
        <v>30</v>
      </c>
      <c r="FT46" s="15">
        <v>158994</v>
      </c>
      <c r="FU46" s="13" t="s">
        <v>30</v>
      </c>
      <c r="FV46" s="14">
        <v>106170.6</v>
      </c>
      <c r="FW46" s="13" t="s">
        <v>30</v>
      </c>
      <c r="FX46" s="14">
        <v>145009.29999999999</v>
      </c>
      <c r="FY46" s="13" t="s">
        <v>30</v>
      </c>
      <c r="FZ46" s="14">
        <v>138130.79999999999</v>
      </c>
      <c r="GA46" s="13" t="s">
        <v>30</v>
      </c>
      <c r="GB46" s="14">
        <v>145978.79999999999</v>
      </c>
      <c r="GC46" s="13" t="s">
        <v>30</v>
      </c>
      <c r="GD46" s="14">
        <v>111390.3</v>
      </c>
      <c r="GE46" s="13" t="s">
        <v>30</v>
      </c>
      <c r="GF46" s="14">
        <v>153665.60000000001</v>
      </c>
      <c r="GG46" s="13" t="s">
        <v>30</v>
      </c>
      <c r="GH46" s="14">
        <v>150599.1</v>
      </c>
      <c r="GI46" s="13" t="s">
        <v>30</v>
      </c>
      <c r="GJ46" s="14">
        <v>161853.6</v>
      </c>
      <c r="GK46" s="13" t="s">
        <v>30</v>
      </c>
      <c r="GL46" s="14">
        <v>132610.70000000001</v>
      </c>
      <c r="GM46" s="13" t="s">
        <v>30</v>
      </c>
      <c r="GN46" s="14">
        <v>176187.4</v>
      </c>
      <c r="GO46" s="13" t="s">
        <v>30</v>
      </c>
      <c r="GP46" s="14">
        <v>171191.9</v>
      </c>
      <c r="GQ46" s="13" t="s">
        <v>30</v>
      </c>
      <c r="GR46" s="15">
        <v>178009</v>
      </c>
      <c r="GS46" s="13" t="s">
        <v>30</v>
      </c>
      <c r="GT46" s="14">
        <v>142848.5</v>
      </c>
      <c r="GU46" s="13" t="s">
        <v>30</v>
      </c>
      <c r="GV46" s="14">
        <v>183871.7</v>
      </c>
      <c r="GW46" s="13" t="s">
        <v>30</v>
      </c>
      <c r="GX46" s="14">
        <v>179083.1</v>
      </c>
      <c r="GY46" s="13" t="s">
        <v>30</v>
      </c>
      <c r="GZ46" s="14">
        <v>190362.6</v>
      </c>
      <c r="HA46" s="13" t="s">
        <v>30</v>
      </c>
      <c r="HB46" s="14">
        <v>155547.4</v>
      </c>
      <c r="HC46" s="13" t="s">
        <v>30</v>
      </c>
      <c r="HD46" s="14">
        <v>202641.5</v>
      </c>
      <c r="HE46" s="13" t="s">
        <v>30</v>
      </c>
      <c r="HF46" s="15">
        <v>197838</v>
      </c>
      <c r="HG46" s="13" t="s">
        <v>30</v>
      </c>
      <c r="HH46" s="15">
        <v>207101</v>
      </c>
      <c r="HI46" s="13" t="s">
        <v>30</v>
      </c>
      <c r="HJ46" s="14">
        <v>167097.70000000001</v>
      </c>
      <c r="HK46" s="13" t="s">
        <v>30</v>
      </c>
      <c r="HL46" s="14">
        <v>208986.2</v>
      </c>
      <c r="HM46" s="13" t="s">
        <v>30</v>
      </c>
      <c r="HN46" s="14">
        <v>203909.1</v>
      </c>
      <c r="HO46" s="13" t="s">
        <v>30</v>
      </c>
      <c r="HP46" s="14">
        <v>219455.6</v>
      </c>
      <c r="HQ46" s="13" t="s">
        <v>30</v>
      </c>
      <c r="HR46" s="14">
        <v>175467.9</v>
      </c>
      <c r="HS46" s="13" t="s">
        <v>30</v>
      </c>
      <c r="HT46" s="14">
        <v>219773.9</v>
      </c>
      <c r="HU46" s="13" t="s">
        <v>30</v>
      </c>
      <c r="HV46" s="14">
        <v>216696.9</v>
      </c>
      <c r="HW46" s="13" t="s">
        <v>30</v>
      </c>
      <c r="HX46" s="14">
        <v>224215.7</v>
      </c>
      <c r="HY46" s="13" t="s">
        <v>30</v>
      </c>
      <c r="HZ46" s="14">
        <v>181136.6</v>
      </c>
      <c r="IA46" s="13" t="s">
        <v>30</v>
      </c>
      <c r="IB46" s="14">
        <v>233138.3</v>
      </c>
      <c r="IC46" s="13" t="s">
        <v>30</v>
      </c>
      <c r="ID46" s="14">
        <v>228582.39999999999</v>
      </c>
      <c r="IE46" s="13" t="s">
        <v>30</v>
      </c>
      <c r="IF46" s="14">
        <v>241454.3</v>
      </c>
      <c r="IG46" s="13" t="s">
        <v>30</v>
      </c>
      <c r="IH46" s="14">
        <v>192581.9</v>
      </c>
      <c r="II46" s="13" t="s">
        <v>30</v>
      </c>
      <c r="IJ46" s="14">
        <v>249527.3</v>
      </c>
      <c r="IK46" s="13" t="s">
        <v>30</v>
      </c>
      <c r="IL46" s="14">
        <v>239785.9</v>
      </c>
      <c r="IM46" s="13" t="s">
        <v>30</v>
      </c>
      <c r="IN46" s="14">
        <v>246504.5</v>
      </c>
      <c r="IO46" s="13" t="s">
        <v>30</v>
      </c>
      <c r="IP46" s="15">
        <v>208045</v>
      </c>
      <c r="IQ46" s="13" t="s">
        <v>30</v>
      </c>
      <c r="IR46" s="14">
        <v>255103.3</v>
      </c>
      <c r="IS46" s="13" t="s">
        <v>30</v>
      </c>
      <c r="IT46" s="14">
        <v>251517.6</v>
      </c>
      <c r="IU46" s="13" t="s">
        <v>30</v>
      </c>
      <c r="IV46" s="15">
        <v>269767</v>
      </c>
      <c r="IW46" s="13" t="s">
        <v>30</v>
      </c>
      <c r="IX46" s="14">
        <v>222024.2</v>
      </c>
      <c r="IY46" s="13" t="s">
        <v>30</v>
      </c>
      <c r="IZ46" s="15">
        <v>264823</v>
      </c>
      <c r="JA46" s="13" t="s">
        <v>30</v>
      </c>
      <c r="JB46" s="14">
        <v>262125.8</v>
      </c>
      <c r="JC46" s="13" t="s">
        <v>30</v>
      </c>
      <c r="JD46" s="14">
        <v>297206.90000000002</v>
      </c>
      <c r="JE46" s="13" t="s">
        <v>30</v>
      </c>
      <c r="JF46" s="14">
        <v>242046.4</v>
      </c>
      <c r="JG46" s="13" t="s">
        <v>30</v>
      </c>
      <c r="JH46" s="14">
        <v>288084.8</v>
      </c>
      <c r="JI46" s="13" t="s">
        <v>30</v>
      </c>
      <c r="JJ46" s="14">
        <v>283560.40000000002</v>
      </c>
      <c r="JK46" s="13" t="s">
        <v>30</v>
      </c>
      <c r="JL46" s="14">
        <v>295059.5</v>
      </c>
      <c r="JM46" s="13" t="s">
        <v>30</v>
      </c>
      <c r="JN46" s="14">
        <v>256455.8</v>
      </c>
      <c r="JO46" s="13" t="s">
        <v>30</v>
      </c>
      <c r="JP46" s="14">
        <v>311750.59999999998</v>
      </c>
      <c r="JQ46" s="13" t="s">
        <v>30</v>
      </c>
      <c r="JR46" s="14">
        <v>285388.09999999998</v>
      </c>
      <c r="JS46" s="13" t="s">
        <v>30</v>
      </c>
      <c r="JT46" s="14">
        <v>288911.40000000002</v>
      </c>
      <c r="JU46" s="13" t="s">
        <v>30</v>
      </c>
      <c r="JV46" s="14">
        <v>259160.5</v>
      </c>
      <c r="JW46" s="13" t="s">
        <v>30</v>
      </c>
      <c r="JX46" s="14">
        <v>312623.90000000002</v>
      </c>
      <c r="JY46" s="13" t="s">
        <v>30</v>
      </c>
      <c r="JZ46" s="14">
        <v>298779.59999999998</v>
      </c>
      <c r="KA46" s="13" t="s">
        <v>30</v>
      </c>
      <c r="KB46" s="14">
        <v>305120.2</v>
      </c>
      <c r="KC46" s="13" t="s">
        <v>30</v>
      </c>
      <c r="KD46" s="14">
        <v>278111.40000000002</v>
      </c>
      <c r="KE46" s="13" t="s">
        <v>30</v>
      </c>
      <c r="KF46" s="14">
        <v>313419.59999999998</v>
      </c>
      <c r="KG46" s="13" t="s">
        <v>30</v>
      </c>
      <c r="KH46" s="14">
        <v>306049.7</v>
      </c>
      <c r="KI46" s="13" t="s">
        <v>30</v>
      </c>
      <c r="KJ46" s="14">
        <v>318818.09999999998</v>
      </c>
      <c r="KK46" s="13" t="s">
        <v>30</v>
      </c>
      <c r="KL46" s="14">
        <v>272931.09999999998</v>
      </c>
      <c r="KM46" s="13" t="s">
        <v>30</v>
      </c>
      <c r="KN46" s="14">
        <v>323439.8</v>
      </c>
      <c r="KO46" s="13" t="s">
        <v>30</v>
      </c>
      <c r="KP46" s="14">
        <v>308958.09999999998</v>
      </c>
      <c r="KQ46" s="13" t="s">
        <v>30</v>
      </c>
      <c r="KR46" s="14">
        <v>323277.2</v>
      </c>
      <c r="KS46" s="13" t="s">
        <v>30</v>
      </c>
      <c r="KT46" s="14">
        <v>279502.59999999998</v>
      </c>
      <c r="KU46" s="13" t="s">
        <v>30</v>
      </c>
      <c r="KV46" s="15">
        <v>336904</v>
      </c>
      <c r="KW46" s="13" t="s">
        <v>30</v>
      </c>
      <c r="KX46" s="14">
        <v>304929.59999999998</v>
      </c>
      <c r="KY46" s="13" t="s">
        <v>30</v>
      </c>
      <c r="KZ46" s="14">
        <v>329038.2</v>
      </c>
      <c r="LA46" s="13" t="s">
        <v>30</v>
      </c>
      <c r="LB46" s="14">
        <v>288400.40000000002</v>
      </c>
      <c r="LC46" s="13" t="s">
        <v>30</v>
      </c>
      <c r="LD46" s="14">
        <v>337199.7</v>
      </c>
      <c r="LE46" s="13" t="s">
        <v>30</v>
      </c>
      <c r="LF46" s="15">
        <v>318353</v>
      </c>
      <c r="LG46" s="13" t="s">
        <v>30</v>
      </c>
      <c r="LH46" s="14">
        <v>329737.59999999998</v>
      </c>
      <c r="LI46" s="13" t="s">
        <v>30</v>
      </c>
      <c r="LJ46" s="14">
        <v>292844.7</v>
      </c>
      <c r="LK46" s="13" t="s">
        <v>30</v>
      </c>
      <c r="LL46" s="14">
        <v>341242.9</v>
      </c>
      <c r="LM46" s="13" t="s">
        <v>30</v>
      </c>
      <c r="LN46" s="14">
        <v>327846.59999999998</v>
      </c>
      <c r="LO46" s="13" t="s">
        <v>30</v>
      </c>
      <c r="LP46" s="15">
        <v>343061</v>
      </c>
      <c r="LQ46" s="13" t="s">
        <v>30</v>
      </c>
      <c r="LR46" s="14">
        <v>303232.2</v>
      </c>
      <c r="LS46" s="13" t="s">
        <v>30</v>
      </c>
      <c r="LT46" s="14">
        <v>352925.2</v>
      </c>
      <c r="LU46" s="13" t="s">
        <v>30</v>
      </c>
      <c r="LV46" s="14">
        <v>341412.5</v>
      </c>
      <c r="LW46" s="13" t="s">
        <v>30</v>
      </c>
      <c r="LX46" s="14">
        <v>358206.8</v>
      </c>
      <c r="LY46" s="13" t="s">
        <v>30</v>
      </c>
      <c r="LZ46" s="14">
        <v>314391.5</v>
      </c>
      <c r="MA46" s="13" t="s">
        <v>30</v>
      </c>
      <c r="MB46" s="14">
        <v>368715.1</v>
      </c>
      <c r="MC46" s="13" t="s">
        <v>30</v>
      </c>
      <c r="MD46" s="14">
        <v>350924.7</v>
      </c>
      <c r="ME46" s="13" t="s">
        <v>30</v>
      </c>
      <c r="MF46" s="14">
        <v>368560.1</v>
      </c>
      <c r="MG46" s="13" t="s">
        <v>30</v>
      </c>
      <c r="MH46" s="14">
        <v>327683.90000000002</v>
      </c>
      <c r="MI46" s="13" t="s">
        <v>30</v>
      </c>
      <c r="MJ46" s="14">
        <v>383485.3</v>
      </c>
      <c r="MK46" s="13" t="s">
        <v>30</v>
      </c>
      <c r="ML46" s="14">
        <v>369569.8</v>
      </c>
      <c r="MM46" s="13" t="s">
        <v>30</v>
      </c>
      <c r="MN46" s="14">
        <v>374346.3</v>
      </c>
      <c r="MO46" s="13" t="s">
        <v>30</v>
      </c>
      <c r="MP46" s="15">
        <v>339033</v>
      </c>
      <c r="MQ46" s="13" t="s">
        <v>30</v>
      </c>
      <c r="MR46" s="14">
        <v>393444.5</v>
      </c>
      <c r="MS46" s="13" t="s">
        <v>30</v>
      </c>
      <c r="MT46" s="14">
        <v>383107.1</v>
      </c>
      <c r="MU46" s="13" t="s">
        <v>30</v>
      </c>
      <c r="MV46" s="14">
        <v>377885.5</v>
      </c>
      <c r="MW46" s="13" t="s">
        <v>30</v>
      </c>
      <c r="MX46" s="14">
        <v>330810.3</v>
      </c>
      <c r="MY46" s="13" t="s">
        <v>30</v>
      </c>
      <c r="MZ46" s="14">
        <v>360615.9</v>
      </c>
      <c r="NA46" s="13" t="s">
        <v>30</v>
      </c>
      <c r="NB46" s="14">
        <v>374673.2</v>
      </c>
      <c r="NC46" s="13" t="s">
        <v>30</v>
      </c>
      <c r="ND46" s="15">
        <v>391104</v>
      </c>
      <c r="NE46" s="13" t="s">
        <v>30</v>
      </c>
      <c r="NF46" s="14">
        <v>347410.1</v>
      </c>
      <c r="NG46" s="13" t="s">
        <v>30</v>
      </c>
      <c r="NH46" s="14">
        <v>414105.5</v>
      </c>
      <c r="NI46" s="13" t="s">
        <v>30</v>
      </c>
      <c r="NJ46" s="14">
        <v>391614.4</v>
      </c>
      <c r="NK46" s="13" t="s">
        <v>30</v>
      </c>
      <c r="NL46" s="15">
        <v>404203</v>
      </c>
      <c r="NM46" s="13" t="s">
        <v>30</v>
      </c>
      <c r="NN46" s="14">
        <v>367497.2</v>
      </c>
      <c r="NO46" s="13" t="s">
        <v>30</v>
      </c>
      <c r="NP46" s="14">
        <v>425513.1</v>
      </c>
      <c r="NQ46" s="13" t="s">
        <v>30</v>
      </c>
      <c r="NR46" s="14">
        <v>416444.5</v>
      </c>
      <c r="NS46" s="13" t="s">
        <v>30</v>
      </c>
      <c r="NT46" s="14">
        <v>429266.9</v>
      </c>
      <c r="NU46" s="13" t="s">
        <v>30</v>
      </c>
      <c r="NV46" s="14">
        <v>384459.6</v>
      </c>
      <c r="NW46" s="13" t="s">
        <v>30</v>
      </c>
      <c r="NX46" s="14">
        <v>448169.2</v>
      </c>
      <c r="NY46" s="13" t="s">
        <v>30</v>
      </c>
      <c r="NZ46" s="14">
        <v>440226.1</v>
      </c>
      <c r="OA46" s="13" t="s">
        <v>30</v>
      </c>
      <c r="OB46" s="14">
        <v>447032.7</v>
      </c>
      <c r="OC46" s="13" t="s">
        <v>30</v>
      </c>
      <c r="OD46" s="14">
        <v>397334.5</v>
      </c>
      <c r="OE46" s="13" t="s">
        <v>237</v>
      </c>
      <c r="OF46" s="14">
        <v>463068.9</v>
      </c>
      <c r="OG46" s="13" t="s">
        <v>237</v>
      </c>
      <c r="OH46" s="14">
        <v>455318.4</v>
      </c>
      <c r="OI46" s="13" t="s">
        <v>237</v>
      </c>
      <c r="OJ46" s="14">
        <v>459106.7</v>
      </c>
      <c r="OK46" s="13" t="s">
        <v>237</v>
      </c>
      <c r="OL46" s="15">
        <v>408775</v>
      </c>
      <c r="OM46" s="13" t="s">
        <v>237</v>
      </c>
      <c r="ON46" s="14">
        <v>477162.3</v>
      </c>
      <c r="OO46" s="13" t="s">
        <v>237</v>
      </c>
      <c r="OP46" s="13" t="s">
        <v>235</v>
      </c>
      <c r="OQ46" s="13" t="s">
        <v>30</v>
      </c>
    </row>
    <row r="47" spans="1:407" x14ac:dyDescent="0.3">
      <c r="A47" s="12" t="s">
        <v>273</v>
      </c>
      <c r="B47" s="16" t="s">
        <v>235</v>
      </c>
      <c r="C47" s="16" t="s">
        <v>30</v>
      </c>
      <c r="D47" s="16" t="s">
        <v>235</v>
      </c>
      <c r="E47" s="16" t="s">
        <v>30</v>
      </c>
      <c r="F47" s="16" t="s">
        <v>235</v>
      </c>
      <c r="G47" s="16" t="s">
        <v>30</v>
      </c>
      <c r="H47" s="16" t="s">
        <v>235</v>
      </c>
      <c r="I47" s="16" t="s">
        <v>30</v>
      </c>
      <c r="J47" s="16" t="s">
        <v>235</v>
      </c>
      <c r="K47" s="16" t="s">
        <v>30</v>
      </c>
      <c r="L47" s="16" t="s">
        <v>235</v>
      </c>
      <c r="M47" s="16" t="s">
        <v>30</v>
      </c>
      <c r="N47" s="16" t="s">
        <v>235</v>
      </c>
      <c r="O47" s="16" t="s">
        <v>30</v>
      </c>
      <c r="P47" s="16" t="s">
        <v>235</v>
      </c>
      <c r="Q47" s="16" t="s">
        <v>30</v>
      </c>
      <c r="R47" s="16" t="s">
        <v>235</v>
      </c>
      <c r="S47" s="16" t="s">
        <v>30</v>
      </c>
      <c r="T47" s="16" t="s">
        <v>235</v>
      </c>
      <c r="U47" s="16" t="s">
        <v>30</v>
      </c>
      <c r="V47" s="16" t="s">
        <v>235</v>
      </c>
      <c r="W47" s="16" t="s">
        <v>30</v>
      </c>
      <c r="X47" s="16" t="s">
        <v>235</v>
      </c>
      <c r="Y47" s="16" t="s">
        <v>30</v>
      </c>
      <c r="Z47" s="16" t="s">
        <v>235</v>
      </c>
      <c r="AA47" s="16" t="s">
        <v>30</v>
      </c>
      <c r="AB47" s="16" t="s">
        <v>235</v>
      </c>
      <c r="AC47" s="16" t="s">
        <v>30</v>
      </c>
      <c r="AD47" s="16" t="s">
        <v>235</v>
      </c>
      <c r="AE47" s="16" t="s">
        <v>30</v>
      </c>
      <c r="AF47" s="16" t="s">
        <v>235</v>
      </c>
      <c r="AG47" s="16" t="s">
        <v>30</v>
      </c>
      <c r="AH47" s="16" t="s">
        <v>235</v>
      </c>
      <c r="AI47" s="16" t="s">
        <v>30</v>
      </c>
      <c r="AJ47" s="16" t="s">
        <v>235</v>
      </c>
      <c r="AK47" s="16" t="s">
        <v>30</v>
      </c>
      <c r="AL47" s="16" t="s">
        <v>235</v>
      </c>
      <c r="AM47" s="16" t="s">
        <v>30</v>
      </c>
      <c r="AN47" s="16" t="s">
        <v>235</v>
      </c>
      <c r="AO47" s="16" t="s">
        <v>30</v>
      </c>
      <c r="AP47" s="16" t="s">
        <v>235</v>
      </c>
      <c r="AQ47" s="16" t="s">
        <v>30</v>
      </c>
      <c r="AR47" s="16" t="s">
        <v>235</v>
      </c>
      <c r="AS47" s="16" t="s">
        <v>30</v>
      </c>
      <c r="AT47" s="16" t="s">
        <v>235</v>
      </c>
      <c r="AU47" s="16" t="s">
        <v>30</v>
      </c>
      <c r="AV47" s="16" t="s">
        <v>235</v>
      </c>
      <c r="AW47" s="16" t="s">
        <v>30</v>
      </c>
      <c r="AX47" s="16" t="s">
        <v>235</v>
      </c>
      <c r="AY47" s="16" t="s">
        <v>30</v>
      </c>
      <c r="AZ47" s="16" t="s">
        <v>235</v>
      </c>
      <c r="BA47" s="16" t="s">
        <v>30</v>
      </c>
      <c r="BB47" s="16" t="s">
        <v>235</v>
      </c>
      <c r="BC47" s="16" t="s">
        <v>30</v>
      </c>
      <c r="BD47" s="16" t="s">
        <v>235</v>
      </c>
      <c r="BE47" s="16" t="s">
        <v>30</v>
      </c>
      <c r="BF47" s="16" t="s">
        <v>235</v>
      </c>
      <c r="BG47" s="16" t="s">
        <v>30</v>
      </c>
      <c r="BH47" s="16" t="s">
        <v>235</v>
      </c>
      <c r="BI47" s="16" t="s">
        <v>30</v>
      </c>
      <c r="BJ47" s="16" t="s">
        <v>235</v>
      </c>
      <c r="BK47" s="16" t="s">
        <v>30</v>
      </c>
      <c r="BL47" s="16" t="s">
        <v>235</v>
      </c>
      <c r="BM47" s="16" t="s">
        <v>30</v>
      </c>
      <c r="BN47" s="16" t="s">
        <v>235</v>
      </c>
      <c r="BO47" s="16" t="s">
        <v>30</v>
      </c>
      <c r="BP47" s="16" t="s">
        <v>235</v>
      </c>
      <c r="BQ47" s="16" t="s">
        <v>30</v>
      </c>
      <c r="BR47" s="16" t="s">
        <v>235</v>
      </c>
      <c r="BS47" s="16" t="s">
        <v>30</v>
      </c>
      <c r="BT47" s="16" t="s">
        <v>235</v>
      </c>
      <c r="BU47" s="16" t="s">
        <v>30</v>
      </c>
      <c r="BV47" s="16" t="s">
        <v>235</v>
      </c>
      <c r="BW47" s="16" t="s">
        <v>30</v>
      </c>
      <c r="BX47" s="16" t="s">
        <v>235</v>
      </c>
      <c r="BY47" s="16" t="s">
        <v>30</v>
      </c>
      <c r="BZ47" s="16" t="s">
        <v>235</v>
      </c>
      <c r="CA47" s="16" t="s">
        <v>30</v>
      </c>
      <c r="CB47" s="16" t="s">
        <v>235</v>
      </c>
      <c r="CC47" s="16" t="s">
        <v>30</v>
      </c>
      <c r="CD47" s="16" t="s">
        <v>235</v>
      </c>
      <c r="CE47" s="16" t="s">
        <v>30</v>
      </c>
      <c r="CF47" s="16" t="s">
        <v>235</v>
      </c>
      <c r="CG47" s="16" t="s">
        <v>30</v>
      </c>
      <c r="CH47" s="16" t="s">
        <v>235</v>
      </c>
      <c r="CI47" s="16" t="s">
        <v>30</v>
      </c>
      <c r="CJ47" s="16" t="s">
        <v>235</v>
      </c>
      <c r="CK47" s="16" t="s">
        <v>30</v>
      </c>
      <c r="CL47" s="16" t="s">
        <v>235</v>
      </c>
      <c r="CM47" s="16" t="s">
        <v>30</v>
      </c>
      <c r="CN47" s="16" t="s">
        <v>235</v>
      </c>
      <c r="CO47" s="16" t="s">
        <v>30</v>
      </c>
      <c r="CP47" s="16" t="s">
        <v>235</v>
      </c>
      <c r="CQ47" s="16" t="s">
        <v>30</v>
      </c>
      <c r="CR47" s="16" t="s">
        <v>235</v>
      </c>
      <c r="CS47" s="16" t="s">
        <v>30</v>
      </c>
      <c r="CT47" s="16" t="s">
        <v>235</v>
      </c>
      <c r="CU47" s="16" t="s">
        <v>30</v>
      </c>
      <c r="CV47" s="16" t="s">
        <v>235</v>
      </c>
      <c r="CW47" s="16" t="s">
        <v>30</v>
      </c>
      <c r="CX47" s="16" t="s">
        <v>235</v>
      </c>
      <c r="CY47" s="16" t="s">
        <v>30</v>
      </c>
      <c r="CZ47" s="16" t="s">
        <v>235</v>
      </c>
      <c r="DA47" s="16" t="s">
        <v>30</v>
      </c>
      <c r="DB47" s="16" t="s">
        <v>235</v>
      </c>
      <c r="DC47" s="16" t="s">
        <v>30</v>
      </c>
      <c r="DD47" s="16" t="s">
        <v>235</v>
      </c>
      <c r="DE47" s="16" t="s">
        <v>30</v>
      </c>
      <c r="DF47" s="16" t="s">
        <v>235</v>
      </c>
      <c r="DG47" s="16" t="s">
        <v>30</v>
      </c>
      <c r="DH47" s="16" t="s">
        <v>235</v>
      </c>
      <c r="DI47" s="16" t="s">
        <v>30</v>
      </c>
      <c r="DJ47" s="16" t="s">
        <v>235</v>
      </c>
      <c r="DK47" s="16" t="s">
        <v>30</v>
      </c>
      <c r="DL47" s="16" t="s">
        <v>235</v>
      </c>
      <c r="DM47" s="16" t="s">
        <v>30</v>
      </c>
      <c r="DN47" s="16" t="s">
        <v>235</v>
      </c>
      <c r="DO47" s="16" t="s">
        <v>30</v>
      </c>
      <c r="DP47" s="16" t="s">
        <v>235</v>
      </c>
      <c r="DQ47" s="16" t="s">
        <v>30</v>
      </c>
      <c r="DR47" s="16" t="s">
        <v>235</v>
      </c>
      <c r="DS47" s="16" t="s">
        <v>30</v>
      </c>
      <c r="DT47" s="16" t="s">
        <v>235</v>
      </c>
      <c r="DU47" s="16" t="s">
        <v>30</v>
      </c>
      <c r="DV47" s="16" t="s">
        <v>235</v>
      </c>
      <c r="DW47" s="16" t="s">
        <v>30</v>
      </c>
      <c r="DX47" s="16" t="s">
        <v>235</v>
      </c>
      <c r="DY47" s="16" t="s">
        <v>30</v>
      </c>
      <c r="DZ47" s="16" t="s">
        <v>235</v>
      </c>
      <c r="EA47" s="16" t="s">
        <v>30</v>
      </c>
      <c r="EB47" s="16" t="s">
        <v>235</v>
      </c>
      <c r="EC47" s="16" t="s">
        <v>30</v>
      </c>
      <c r="ED47" s="16" t="s">
        <v>235</v>
      </c>
      <c r="EE47" s="16" t="s">
        <v>30</v>
      </c>
      <c r="EF47" s="16" t="s">
        <v>235</v>
      </c>
      <c r="EG47" s="16" t="s">
        <v>30</v>
      </c>
      <c r="EH47" s="16" t="s">
        <v>235</v>
      </c>
      <c r="EI47" s="16" t="s">
        <v>30</v>
      </c>
      <c r="EJ47" s="16" t="s">
        <v>235</v>
      </c>
      <c r="EK47" s="16" t="s">
        <v>30</v>
      </c>
      <c r="EL47" s="16" t="s">
        <v>235</v>
      </c>
      <c r="EM47" s="16" t="s">
        <v>30</v>
      </c>
      <c r="EN47" s="16" t="s">
        <v>235</v>
      </c>
      <c r="EO47" s="16" t="s">
        <v>30</v>
      </c>
      <c r="EP47" s="16" t="s">
        <v>235</v>
      </c>
      <c r="EQ47" s="16" t="s">
        <v>30</v>
      </c>
      <c r="ER47" s="16" t="s">
        <v>235</v>
      </c>
      <c r="ES47" s="16" t="s">
        <v>30</v>
      </c>
      <c r="ET47" s="16" t="s">
        <v>235</v>
      </c>
      <c r="EU47" s="16" t="s">
        <v>30</v>
      </c>
      <c r="EV47" s="16" t="s">
        <v>235</v>
      </c>
      <c r="EW47" s="16" t="s">
        <v>30</v>
      </c>
      <c r="EX47" s="16" t="s">
        <v>235</v>
      </c>
      <c r="EY47" s="16" t="s">
        <v>30</v>
      </c>
      <c r="EZ47" s="16" t="s">
        <v>235</v>
      </c>
      <c r="FA47" s="16" t="s">
        <v>30</v>
      </c>
      <c r="FB47" s="16" t="s">
        <v>235</v>
      </c>
      <c r="FC47" s="16" t="s">
        <v>30</v>
      </c>
      <c r="FD47" s="16" t="s">
        <v>235</v>
      </c>
      <c r="FE47" s="16" t="s">
        <v>30</v>
      </c>
      <c r="FF47" s="17">
        <v>540418.30000000005</v>
      </c>
      <c r="FG47" s="16" t="s">
        <v>30</v>
      </c>
      <c r="FH47" s="17">
        <v>613785.19999999995</v>
      </c>
      <c r="FI47" s="16" t="s">
        <v>30</v>
      </c>
      <c r="FJ47" s="17">
        <v>605124.30000000005</v>
      </c>
      <c r="FK47" s="16" t="s">
        <v>30</v>
      </c>
      <c r="FL47" s="17">
        <v>629202.4</v>
      </c>
      <c r="FM47" s="16" t="s">
        <v>30</v>
      </c>
      <c r="FN47" s="17">
        <v>559330.80000000005</v>
      </c>
      <c r="FO47" s="16" t="s">
        <v>30</v>
      </c>
      <c r="FP47" s="17">
        <v>612354.19999999995</v>
      </c>
      <c r="FQ47" s="16" t="s">
        <v>30</v>
      </c>
      <c r="FR47" s="18">
        <v>641622</v>
      </c>
      <c r="FS47" s="16" t="s">
        <v>30</v>
      </c>
      <c r="FT47" s="17">
        <v>705035.9</v>
      </c>
      <c r="FU47" s="16" t="s">
        <v>30</v>
      </c>
      <c r="FV47" s="17">
        <v>598216.6</v>
      </c>
      <c r="FW47" s="16" t="s">
        <v>30</v>
      </c>
      <c r="FX47" s="17">
        <v>645767.4</v>
      </c>
      <c r="FY47" s="16" t="s">
        <v>30</v>
      </c>
      <c r="FZ47" s="17">
        <v>725770.5</v>
      </c>
      <c r="GA47" s="16" t="s">
        <v>30</v>
      </c>
      <c r="GB47" s="17">
        <v>782997.2</v>
      </c>
      <c r="GC47" s="16" t="s">
        <v>30</v>
      </c>
      <c r="GD47" s="17">
        <v>668569.59999999998</v>
      </c>
      <c r="GE47" s="16" t="s">
        <v>30</v>
      </c>
      <c r="GF47" s="17">
        <v>701772.80000000005</v>
      </c>
      <c r="GG47" s="16" t="s">
        <v>30</v>
      </c>
      <c r="GH47" s="17">
        <v>734722.4</v>
      </c>
      <c r="GI47" s="16" t="s">
        <v>30</v>
      </c>
      <c r="GJ47" s="17">
        <v>799559.1</v>
      </c>
      <c r="GK47" s="16" t="s">
        <v>30</v>
      </c>
      <c r="GL47" s="17">
        <v>650627.69999999995</v>
      </c>
      <c r="GM47" s="16" t="s">
        <v>30</v>
      </c>
      <c r="GN47" s="18">
        <v>551537</v>
      </c>
      <c r="GO47" s="16" t="s">
        <v>30</v>
      </c>
      <c r="GP47" s="17">
        <v>663575.6</v>
      </c>
      <c r="GQ47" s="16" t="s">
        <v>30</v>
      </c>
      <c r="GR47" s="17">
        <v>736229.9</v>
      </c>
      <c r="GS47" s="16" t="s">
        <v>30</v>
      </c>
      <c r="GT47" s="17">
        <v>644106.6</v>
      </c>
      <c r="GU47" s="16" t="s">
        <v>30</v>
      </c>
      <c r="GV47" s="17">
        <v>691772.7</v>
      </c>
      <c r="GW47" s="16" t="s">
        <v>30</v>
      </c>
      <c r="GX47" s="17">
        <v>716608.5</v>
      </c>
      <c r="GY47" s="16" t="s">
        <v>30</v>
      </c>
      <c r="GZ47" s="17">
        <v>698534.40000000002</v>
      </c>
      <c r="HA47" s="16" t="s">
        <v>30</v>
      </c>
      <c r="HB47" s="17">
        <v>656836.19999999995</v>
      </c>
      <c r="HC47" s="16" t="s">
        <v>30</v>
      </c>
      <c r="HD47" s="17">
        <v>696222.8</v>
      </c>
      <c r="HE47" s="16" t="s">
        <v>30</v>
      </c>
      <c r="HF47" s="18">
        <v>746646</v>
      </c>
      <c r="HG47" s="16" t="s">
        <v>30</v>
      </c>
      <c r="HH47" s="17">
        <v>815565.9</v>
      </c>
      <c r="HI47" s="16" t="s">
        <v>30</v>
      </c>
      <c r="HJ47" s="17">
        <v>688875.3</v>
      </c>
      <c r="HK47" s="16" t="s">
        <v>30</v>
      </c>
      <c r="HL47" s="18">
        <v>746049</v>
      </c>
      <c r="HM47" s="16" t="s">
        <v>30</v>
      </c>
      <c r="HN47" s="18">
        <v>803172</v>
      </c>
      <c r="HO47" s="16" t="s">
        <v>30</v>
      </c>
      <c r="HP47" s="17">
        <v>861299.5</v>
      </c>
      <c r="HQ47" s="16" t="s">
        <v>30</v>
      </c>
      <c r="HR47" s="17">
        <v>724770.4</v>
      </c>
      <c r="HS47" s="16" t="s">
        <v>30</v>
      </c>
      <c r="HT47" s="17">
        <v>784887.7</v>
      </c>
      <c r="HU47" s="16" t="s">
        <v>30</v>
      </c>
      <c r="HV47" s="17">
        <v>831413.5</v>
      </c>
      <c r="HW47" s="16" t="s">
        <v>30</v>
      </c>
      <c r="HX47" s="17">
        <v>885494.7</v>
      </c>
      <c r="HY47" s="16" t="s">
        <v>30</v>
      </c>
      <c r="HZ47" s="17">
        <v>748747.5</v>
      </c>
      <c r="IA47" s="16" t="s">
        <v>30</v>
      </c>
      <c r="IB47" s="17">
        <v>810644.1</v>
      </c>
      <c r="IC47" s="16" t="s">
        <v>30</v>
      </c>
      <c r="ID47" s="18">
        <v>863425</v>
      </c>
      <c r="IE47" s="16" t="s">
        <v>30</v>
      </c>
      <c r="IF47" s="17">
        <v>953745.1</v>
      </c>
      <c r="IG47" s="16" t="s">
        <v>30</v>
      </c>
      <c r="IH47" s="17">
        <v>782113.9</v>
      </c>
      <c r="II47" s="16" t="s">
        <v>30</v>
      </c>
      <c r="IJ47" s="17">
        <v>873864.9</v>
      </c>
      <c r="IK47" s="16" t="s">
        <v>30</v>
      </c>
      <c r="IL47" s="17">
        <v>933797.5</v>
      </c>
      <c r="IM47" s="16" t="s">
        <v>30</v>
      </c>
      <c r="IN47" s="17">
        <v>1005376.3</v>
      </c>
      <c r="IO47" s="16" t="s">
        <v>30</v>
      </c>
      <c r="IP47" s="17">
        <v>827809.7</v>
      </c>
      <c r="IQ47" s="16" t="s">
        <v>30</v>
      </c>
      <c r="IR47" s="17">
        <v>899866.4</v>
      </c>
      <c r="IS47" s="16" t="s">
        <v>30</v>
      </c>
      <c r="IT47" s="17">
        <v>948632.5</v>
      </c>
      <c r="IU47" s="16" t="s">
        <v>30</v>
      </c>
      <c r="IV47" s="18">
        <v>1010048</v>
      </c>
      <c r="IW47" s="16" t="s">
        <v>30</v>
      </c>
      <c r="IX47" s="17">
        <v>899503.3</v>
      </c>
      <c r="IY47" s="16" t="s">
        <v>30</v>
      </c>
      <c r="IZ47" s="17">
        <v>971922.9</v>
      </c>
      <c r="JA47" s="16" t="s">
        <v>30</v>
      </c>
      <c r="JB47" s="17">
        <v>1012698.4</v>
      </c>
      <c r="JC47" s="16" t="s">
        <v>30</v>
      </c>
      <c r="JD47" s="17">
        <v>1077645.3999999999</v>
      </c>
      <c r="JE47" s="16" t="s">
        <v>30</v>
      </c>
      <c r="JF47" s="17">
        <v>960507.2</v>
      </c>
      <c r="JG47" s="16" t="s">
        <v>30</v>
      </c>
      <c r="JH47" s="17">
        <v>1039075.8</v>
      </c>
      <c r="JI47" s="16" t="s">
        <v>30</v>
      </c>
      <c r="JJ47" s="17">
        <v>1069074.3999999999</v>
      </c>
      <c r="JK47" s="16" t="s">
        <v>30</v>
      </c>
      <c r="JL47" s="17">
        <v>1102184.3999999999</v>
      </c>
      <c r="JM47" s="16" t="s">
        <v>30</v>
      </c>
      <c r="JN47" s="17">
        <v>935969.2</v>
      </c>
      <c r="JO47" s="16" t="s">
        <v>30</v>
      </c>
      <c r="JP47" s="17">
        <v>996878.4</v>
      </c>
      <c r="JQ47" s="16" t="s">
        <v>30</v>
      </c>
      <c r="JR47" s="17">
        <v>1048057.8</v>
      </c>
      <c r="JS47" s="16" t="s">
        <v>30</v>
      </c>
      <c r="JT47" s="17">
        <v>1081376.8999999999</v>
      </c>
      <c r="JU47" s="16" t="s">
        <v>30</v>
      </c>
      <c r="JV47" s="17">
        <v>956221.1</v>
      </c>
      <c r="JW47" s="16" t="s">
        <v>30</v>
      </c>
      <c r="JX47" s="17">
        <v>1016740.3</v>
      </c>
      <c r="JY47" s="16" t="s">
        <v>30</v>
      </c>
      <c r="JZ47" s="17">
        <v>1070262.5</v>
      </c>
      <c r="KA47" s="16" t="s">
        <v>30</v>
      </c>
      <c r="KB47" s="17">
        <v>1098354.3</v>
      </c>
      <c r="KC47" s="16" t="s">
        <v>30</v>
      </c>
      <c r="KD47" s="17">
        <v>976644.7</v>
      </c>
      <c r="KE47" s="16" t="s">
        <v>30</v>
      </c>
      <c r="KF47" s="17">
        <v>1024191.4</v>
      </c>
      <c r="KG47" s="16" t="s">
        <v>30</v>
      </c>
      <c r="KH47" s="17">
        <v>1063389.7</v>
      </c>
      <c r="KI47" s="16" t="s">
        <v>30</v>
      </c>
      <c r="KJ47" s="17">
        <v>1090347.3999999999</v>
      </c>
      <c r="KK47" s="16" t="s">
        <v>30</v>
      </c>
      <c r="KL47" s="17">
        <v>956986.3</v>
      </c>
      <c r="KM47" s="16" t="s">
        <v>30</v>
      </c>
      <c r="KN47" s="17">
        <v>1037302.3</v>
      </c>
      <c r="KO47" s="16" t="s">
        <v>30</v>
      </c>
      <c r="KP47" s="17">
        <v>1062554.2</v>
      </c>
      <c r="KQ47" s="16" t="s">
        <v>30</v>
      </c>
      <c r="KR47" s="17">
        <v>1102452.3999999999</v>
      </c>
      <c r="KS47" s="16" t="s">
        <v>30</v>
      </c>
      <c r="KT47" s="18">
        <v>969030</v>
      </c>
      <c r="KU47" s="16" t="s">
        <v>30</v>
      </c>
      <c r="KV47" s="17">
        <v>1032161.9</v>
      </c>
      <c r="KW47" s="16" t="s">
        <v>30</v>
      </c>
      <c r="KX47" s="17">
        <v>1090605.1000000001</v>
      </c>
      <c r="KY47" s="16" t="s">
        <v>30</v>
      </c>
      <c r="KZ47" s="18">
        <v>1104967</v>
      </c>
      <c r="LA47" s="16" t="s">
        <v>30</v>
      </c>
      <c r="LB47" s="17">
        <v>978089.2</v>
      </c>
      <c r="LC47" s="16" t="s">
        <v>30</v>
      </c>
      <c r="LD47" s="17">
        <v>1026119.8</v>
      </c>
      <c r="LE47" s="16" t="s">
        <v>30</v>
      </c>
      <c r="LF47" s="17">
        <v>1035690.8</v>
      </c>
      <c r="LG47" s="16" t="s">
        <v>30</v>
      </c>
      <c r="LH47" s="17">
        <v>1077997.5</v>
      </c>
      <c r="LI47" s="16" t="s">
        <v>30</v>
      </c>
      <c r="LJ47" s="17">
        <v>978956.9</v>
      </c>
      <c r="LK47" s="16" t="s">
        <v>30</v>
      </c>
      <c r="LL47" s="17">
        <v>1038135.8</v>
      </c>
      <c r="LM47" s="16" t="s">
        <v>30</v>
      </c>
      <c r="LN47" s="17">
        <v>1064652.6000000001</v>
      </c>
      <c r="LO47" s="16" t="s">
        <v>30</v>
      </c>
      <c r="LP47" s="18">
        <v>1102642</v>
      </c>
      <c r="LQ47" s="16" t="s">
        <v>30</v>
      </c>
      <c r="LR47" s="17">
        <v>1005724.5</v>
      </c>
      <c r="LS47" s="16" t="s">
        <v>30</v>
      </c>
      <c r="LT47" s="18">
        <v>1066404</v>
      </c>
      <c r="LU47" s="16" t="s">
        <v>30</v>
      </c>
      <c r="LV47" s="18">
        <v>1101160</v>
      </c>
      <c r="LW47" s="16" t="s">
        <v>30</v>
      </c>
      <c r="LX47" s="17">
        <v>1128950.3999999999</v>
      </c>
      <c r="LY47" s="16" t="s">
        <v>30</v>
      </c>
      <c r="LZ47" s="18">
        <v>1034103</v>
      </c>
      <c r="MA47" s="16" t="s">
        <v>30</v>
      </c>
      <c r="MB47" s="17">
        <v>1091952.6000000001</v>
      </c>
      <c r="MC47" s="16" t="s">
        <v>30</v>
      </c>
      <c r="MD47" s="17">
        <v>1129681.6000000001</v>
      </c>
      <c r="ME47" s="16" t="s">
        <v>30</v>
      </c>
      <c r="MF47" s="17">
        <v>1160101.8</v>
      </c>
      <c r="MG47" s="16" t="s">
        <v>30</v>
      </c>
      <c r="MH47" s="17">
        <v>1091466.8999999999</v>
      </c>
      <c r="MI47" s="16" t="s">
        <v>30</v>
      </c>
      <c r="MJ47" s="17">
        <v>1155372.8</v>
      </c>
      <c r="MK47" s="16" t="s">
        <v>30</v>
      </c>
      <c r="ML47" s="17">
        <v>1184065.5</v>
      </c>
      <c r="MM47" s="16" t="s">
        <v>30</v>
      </c>
      <c r="MN47" s="17">
        <v>1204971.8</v>
      </c>
      <c r="MO47" s="16" t="s">
        <v>30</v>
      </c>
      <c r="MP47" s="17">
        <v>1120105.7</v>
      </c>
      <c r="MQ47" s="16" t="s">
        <v>30</v>
      </c>
      <c r="MR47" s="17">
        <v>1190707.5</v>
      </c>
      <c r="MS47" s="16" t="s">
        <v>30</v>
      </c>
      <c r="MT47" s="17">
        <v>1252251.7</v>
      </c>
      <c r="MU47" s="16" t="s">
        <v>30</v>
      </c>
      <c r="MV47" s="17">
        <v>1295807.3</v>
      </c>
      <c r="MW47" s="16" t="s">
        <v>30</v>
      </c>
      <c r="MX47" s="17">
        <v>1191597.3999999999</v>
      </c>
      <c r="MY47" s="16" t="s">
        <v>30</v>
      </c>
      <c r="MZ47" s="17">
        <v>1110538.7</v>
      </c>
      <c r="NA47" s="16" t="s">
        <v>30</v>
      </c>
      <c r="NB47" s="17">
        <v>1239794.8999999999</v>
      </c>
      <c r="NC47" s="16" t="s">
        <v>30</v>
      </c>
      <c r="ND47" s="17">
        <v>1292252.7</v>
      </c>
      <c r="NE47" s="16" t="s">
        <v>30</v>
      </c>
      <c r="NF47" s="18">
        <v>1215556</v>
      </c>
      <c r="NG47" s="16" t="s">
        <v>30</v>
      </c>
      <c r="NH47" s="17">
        <v>1270910.3</v>
      </c>
      <c r="NI47" s="16" t="s">
        <v>30</v>
      </c>
      <c r="NJ47" s="17">
        <v>1338509.3</v>
      </c>
      <c r="NK47" s="16" t="s">
        <v>30</v>
      </c>
      <c r="NL47" s="17">
        <v>1391055.7</v>
      </c>
      <c r="NM47" s="16" t="s">
        <v>30</v>
      </c>
      <c r="NN47" s="17">
        <v>1266660.2</v>
      </c>
      <c r="NO47" s="16" t="s">
        <v>237</v>
      </c>
      <c r="NP47" s="17">
        <v>1321899.6000000001</v>
      </c>
      <c r="NQ47" s="16" t="s">
        <v>237</v>
      </c>
      <c r="NR47" s="17">
        <v>1349925.9</v>
      </c>
      <c r="NS47" s="16" t="s">
        <v>237</v>
      </c>
      <c r="NT47" s="17">
        <v>1408947.6</v>
      </c>
      <c r="NU47" s="16" t="s">
        <v>237</v>
      </c>
      <c r="NV47" s="17">
        <v>1306259.2</v>
      </c>
      <c r="NW47" s="16" t="s">
        <v>237</v>
      </c>
      <c r="NX47" s="18">
        <v>1376628</v>
      </c>
      <c r="NY47" s="16" t="s">
        <v>237</v>
      </c>
      <c r="NZ47" s="17">
        <v>1430700.3</v>
      </c>
      <c r="OA47" s="16" t="s">
        <v>237</v>
      </c>
      <c r="OB47" s="17">
        <v>1492425.9</v>
      </c>
      <c r="OC47" s="16" t="s">
        <v>237</v>
      </c>
      <c r="OD47" s="17">
        <v>1369783.4</v>
      </c>
      <c r="OE47" s="16" t="s">
        <v>271</v>
      </c>
      <c r="OF47" s="17">
        <v>1440692.4</v>
      </c>
      <c r="OG47" s="16" t="s">
        <v>271</v>
      </c>
      <c r="OH47" s="17">
        <v>1472930.6</v>
      </c>
      <c r="OI47" s="16" t="s">
        <v>271</v>
      </c>
      <c r="OJ47" s="17">
        <v>1539406.3</v>
      </c>
      <c r="OK47" s="16" t="s">
        <v>271</v>
      </c>
      <c r="OL47" s="17">
        <v>1394460.3</v>
      </c>
      <c r="OM47" s="16" t="s">
        <v>271</v>
      </c>
      <c r="ON47" s="17">
        <v>1466408.6</v>
      </c>
      <c r="OO47" s="16" t="s">
        <v>271</v>
      </c>
      <c r="OP47" s="16" t="s">
        <v>235</v>
      </c>
      <c r="OQ47" s="16" t="s">
        <v>30</v>
      </c>
    </row>
    <row r="48" spans="1:407" x14ac:dyDescent="0.3">
      <c r="A48" s="12" t="s">
        <v>274</v>
      </c>
      <c r="B48" s="13" t="s">
        <v>235</v>
      </c>
      <c r="C48" s="13" t="s">
        <v>30</v>
      </c>
      <c r="D48" s="13" t="s">
        <v>235</v>
      </c>
      <c r="E48" s="13" t="s">
        <v>30</v>
      </c>
      <c r="F48" s="13" t="s">
        <v>235</v>
      </c>
      <c r="G48" s="13" t="s">
        <v>30</v>
      </c>
      <c r="H48" s="13" t="s">
        <v>235</v>
      </c>
      <c r="I48" s="13" t="s">
        <v>30</v>
      </c>
      <c r="J48" s="13" t="s">
        <v>235</v>
      </c>
      <c r="K48" s="13" t="s">
        <v>30</v>
      </c>
      <c r="L48" s="13" t="s">
        <v>235</v>
      </c>
      <c r="M48" s="13" t="s">
        <v>30</v>
      </c>
      <c r="N48" s="13" t="s">
        <v>235</v>
      </c>
      <c r="O48" s="13" t="s">
        <v>30</v>
      </c>
      <c r="P48" s="13" t="s">
        <v>235</v>
      </c>
      <c r="Q48" s="13" t="s">
        <v>30</v>
      </c>
      <c r="R48" s="13" t="s">
        <v>235</v>
      </c>
      <c r="S48" s="13" t="s">
        <v>30</v>
      </c>
      <c r="T48" s="13" t="s">
        <v>235</v>
      </c>
      <c r="U48" s="13" t="s">
        <v>30</v>
      </c>
      <c r="V48" s="13" t="s">
        <v>235</v>
      </c>
      <c r="W48" s="13" t="s">
        <v>30</v>
      </c>
      <c r="X48" s="13" t="s">
        <v>235</v>
      </c>
      <c r="Y48" s="13" t="s">
        <v>30</v>
      </c>
      <c r="Z48" s="13" t="s">
        <v>235</v>
      </c>
      <c r="AA48" s="13" t="s">
        <v>30</v>
      </c>
      <c r="AB48" s="13" t="s">
        <v>235</v>
      </c>
      <c r="AC48" s="13" t="s">
        <v>30</v>
      </c>
      <c r="AD48" s="13" t="s">
        <v>235</v>
      </c>
      <c r="AE48" s="13" t="s">
        <v>30</v>
      </c>
      <c r="AF48" s="13" t="s">
        <v>235</v>
      </c>
      <c r="AG48" s="13" t="s">
        <v>30</v>
      </c>
      <c r="AH48" s="13" t="s">
        <v>235</v>
      </c>
      <c r="AI48" s="13" t="s">
        <v>30</v>
      </c>
      <c r="AJ48" s="13" t="s">
        <v>235</v>
      </c>
      <c r="AK48" s="13" t="s">
        <v>30</v>
      </c>
      <c r="AL48" s="13" t="s">
        <v>235</v>
      </c>
      <c r="AM48" s="13" t="s">
        <v>30</v>
      </c>
      <c r="AN48" s="13" t="s">
        <v>235</v>
      </c>
      <c r="AO48" s="13" t="s">
        <v>30</v>
      </c>
      <c r="AP48" s="13" t="s">
        <v>235</v>
      </c>
      <c r="AQ48" s="13" t="s">
        <v>30</v>
      </c>
      <c r="AR48" s="13" t="s">
        <v>235</v>
      </c>
      <c r="AS48" s="13" t="s">
        <v>30</v>
      </c>
      <c r="AT48" s="13" t="s">
        <v>235</v>
      </c>
      <c r="AU48" s="13" t="s">
        <v>30</v>
      </c>
      <c r="AV48" s="13" t="s">
        <v>235</v>
      </c>
      <c r="AW48" s="13" t="s">
        <v>30</v>
      </c>
      <c r="AX48" s="13" t="s">
        <v>235</v>
      </c>
      <c r="AY48" s="13" t="s">
        <v>30</v>
      </c>
      <c r="AZ48" s="13" t="s">
        <v>235</v>
      </c>
      <c r="BA48" s="13" t="s">
        <v>30</v>
      </c>
      <c r="BB48" s="13" t="s">
        <v>235</v>
      </c>
      <c r="BC48" s="13" t="s">
        <v>30</v>
      </c>
      <c r="BD48" s="13" t="s">
        <v>235</v>
      </c>
      <c r="BE48" s="13" t="s">
        <v>30</v>
      </c>
      <c r="BF48" s="13" t="s">
        <v>235</v>
      </c>
      <c r="BG48" s="13" t="s">
        <v>30</v>
      </c>
      <c r="BH48" s="13" t="s">
        <v>235</v>
      </c>
      <c r="BI48" s="13" t="s">
        <v>30</v>
      </c>
      <c r="BJ48" s="13" t="s">
        <v>235</v>
      </c>
      <c r="BK48" s="13" t="s">
        <v>30</v>
      </c>
      <c r="BL48" s="13" t="s">
        <v>235</v>
      </c>
      <c r="BM48" s="13" t="s">
        <v>30</v>
      </c>
      <c r="BN48" s="13" t="s">
        <v>235</v>
      </c>
      <c r="BO48" s="13" t="s">
        <v>30</v>
      </c>
      <c r="BP48" s="13" t="s">
        <v>235</v>
      </c>
      <c r="BQ48" s="13" t="s">
        <v>30</v>
      </c>
      <c r="BR48" s="13" t="s">
        <v>235</v>
      </c>
      <c r="BS48" s="13" t="s">
        <v>30</v>
      </c>
      <c r="BT48" s="13" t="s">
        <v>235</v>
      </c>
      <c r="BU48" s="13" t="s">
        <v>30</v>
      </c>
      <c r="BV48" s="13" t="s">
        <v>235</v>
      </c>
      <c r="BW48" s="13" t="s">
        <v>30</v>
      </c>
      <c r="BX48" s="13" t="s">
        <v>235</v>
      </c>
      <c r="BY48" s="13" t="s">
        <v>30</v>
      </c>
      <c r="BZ48" s="13" t="s">
        <v>235</v>
      </c>
      <c r="CA48" s="13" t="s">
        <v>30</v>
      </c>
      <c r="CB48" s="13" t="s">
        <v>235</v>
      </c>
      <c r="CC48" s="13" t="s">
        <v>30</v>
      </c>
      <c r="CD48" s="13" t="s">
        <v>235</v>
      </c>
      <c r="CE48" s="13" t="s">
        <v>30</v>
      </c>
      <c r="CF48" s="13" t="s">
        <v>235</v>
      </c>
      <c r="CG48" s="13" t="s">
        <v>30</v>
      </c>
      <c r="CH48" s="13" t="s">
        <v>235</v>
      </c>
      <c r="CI48" s="13" t="s">
        <v>30</v>
      </c>
      <c r="CJ48" s="13" t="s">
        <v>235</v>
      </c>
      <c r="CK48" s="13" t="s">
        <v>30</v>
      </c>
      <c r="CL48" s="13" t="s">
        <v>235</v>
      </c>
      <c r="CM48" s="13" t="s">
        <v>30</v>
      </c>
      <c r="CN48" s="13" t="s">
        <v>235</v>
      </c>
      <c r="CO48" s="13" t="s">
        <v>30</v>
      </c>
      <c r="CP48" s="13" t="s">
        <v>235</v>
      </c>
      <c r="CQ48" s="13" t="s">
        <v>30</v>
      </c>
      <c r="CR48" s="13" t="s">
        <v>235</v>
      </c>
      <c r="CS48" s="13" t="s">
        <v>30</v>
      </c>
      <c r="CT48" s="13" t="s">
        <v>235</v>
      </c>
      <c r="CU48" s="13" t="s">
        <v>30</v>
      </c>
      <c r="CV48" s="13" t="s">
        <v>235</v>
      </c>
      <c r="CW48" s="13" t="s">
        <v>30</v>
      </c>
      <c r="CX48" s="13" t="s">
        <v>235</v>
      </c>
      <c r="CY48" s="13" t="s">
        <v>30</v>
      </c>
      <c r="CZ48" s="13" t="s">
        <v>235</v>
      </c>
      <c r="DA48" s="13" t="s">
        <v>30</v>
      </c>
      <c r="DB48" s="13" t="s">
        <v>235</v>
      </c>
      <c r="DC48" s="13" t="s">
        <v>30</v>
      </c>
      <c r="DD48" s="13" t="s">
        <v>235</v>
      </c>
      <c r="DE48" s="13" t="s">
        <v>30</v>
      </c>
      <c r="DF48" s="13" t="s">
        <v>235</v>
      </c>
      <c r="DG48" s="13" t="s">
        <v>30</v>
      </c>
      <c r="DH48" s="13" t="s">
        <v>235</v>
      </c>
      <c r="DI48" s="13" t="s">
        <v>30</v>
      </c>
      <c r="DJ48" s="13" t="s">
        <v>235</v>
      </c>
      <c r="DK48" s="13" t="s">
        <v>30</v>
      </c>
      <c r="DL48" s="13" t="s">
        <v>235</v>
      </c>
      <c r="DM48" s="13" t="s">
        <v>30</v>
      </c>
      <c r="DN48" s="13" t="s">
        <v>235</v>
      </c>
      <c r="DO48" s="13" t="s">
        <v>30</v>
      </c>
      <c r="DP48" s="13" t="s">
        <v>235</v>
      </c>
      <c r="DQ48" s="13" t="s">
        <v>30</v>
      </c>
      <c r="DR48" s="13" t="s">
        <v>235</v>
      </c>
      <c r="DS48" s="13" t="s">
        <v>30</v>
      </c>
      <c r="DT48" s="13" t="s">
        <v>235</v>
      </c>
      <c r="DU48" s="13" t="s">
        <v>30</v>
      </c>
      <c r="DV48" s="13" t="s">
        <v>235</v>
      </c>
      <c r="DW48" s="13" t="s">
        <v>30</v>
      </c>
      <c r="DX48" s="13" t="s">
        <v>235</v>
      </c>
      <c r="DY48" s="13" t="s">
        <v>30</v>
      </c>
      <c r="DZ48" s="13" t="s">
        <v>235</v>
      </c>
      <c r="EA48" s="13" t="s">
        <v>30</v>
      </c>
      <c r="EB48" s="13" t="s">
        <v>235</v>
      </c>
      <c r="EC48" s="13" t="s">
        <v>30</v>
      </c>
      <c r="ED48" s="13" t="s">
        <v>235</v>
      </c>
      <c r="EE48" s="13" t="s">
        <v>30</v>
      </c>
      <c r="EF48" s="13" t="s">
        <v>235</v>
      </c>
      <c r="EG48" s="13" t="s">
        <v>30</v>
      </c>
      <c r="EH48" s="13" t="s">
        <v>235</v>
      </c>
      <c r="EI48" s="13" t="s">
        <v>30</v>
      </c>
      <c r="EJ48" s="13" t="s">
        <v>235</v>
      </c>
      <c r="EK48" s="13" t="s">
        <v>30</v>
      </c>
      <c r="EL48" s="13" t="s">
        <v>235</v>
      </c>
      <c r="EM48" s="13" t="s">
        <v>30</v>
      </c>
      <c r="EN48" s="13" t="s">
        <v>235</v>
      </c>
      <c r="EO48" s="13" t="s">
        <v>30</v>
      </c>
      <c r="EP48" s="13" t="s">
        <v>235</v>
      </c>
      <c r="EQ48" s="13" t="s">
        <v>30</v>
      </c>
      <c r="ER48" s="13" t="s">
        <v>235</v>
      </c>
      <c r="ES48" s="13" t="s">
        <v>30</v>
      </c>
      <c r="ET48" s="13" t="s">
        <v>235</v>
      </c>
      <c r="EU48" s="13" t="s">
        <v>30</v>
      </c>
      <c r="EV48" s="13" t="s">
        <v>235</v>
      </c>
      <c r="EW48" s="13" t="s">
        <v>30</v>
      </c>
      <c r="EX48" s="13" t="s">
        <v>235</v>
      </c>
      <c r="EY48" s="13" t="s">
        <v>30</v>
      </c>
      <c r="EZ48" s="13" t="s">
        <v>235</v>
      </c>
      <c r="FA48" s="13" t="s">
        <v>30</v>
      </c>
      <c r="FB48" s="13" t="s">
        <v>235</v>
      </c>
      <c r="FC48" s="13" t="s">
        <v>30</v>
      </c>
      <c r="FD48" s="13" t="s">
        <v>235</v>
      </c>
      <c r="FE48" s="13" t="s">
        <v>30</v>
      </c>
      <c r="FF48" s="14">
        <v>356472.4</v>
      </c>
      <c r="FG48" s="13" t="s">
        <v>30</v>
      </c>
      <c r="FH48" s="14">
        <v>378261.1</v>
      </c>
      <c r="FI48" s="13" t="s">
        <v>30</v>
      </c>
      <c r="FJ48" s="14">
        <v>422025.3</v>
      </c>
      <c r="FK48" s="13" t="s">
        <v>30</v>
      </c>
      <c r="FL48" s="14">
        <v>377646.6</v>
      </c>
      <c r="FM48" s="13" t="s">
        <v>30</v>
      </c>
      <c r="FN48" s="14">
        <v>379914.1</v>
      </c>
      <c r="FO48" s="13" t="s">
        <v>30</v>
      </c>
      <c r="FP48" s="15">
        <v>402959</v>
      </c>
      <c r="FQ48" s="13" t="s">
        <v>30</v>
      </c>
      <c r="FR48" s="14">
        <v>442381.1</v>
      </c>
      <c r="FS48" s="13" t="s">
        <v>30</v>
      </c>
      <c r="FT48" s="14">
        <v>402931.7</v>
      </c>
      <c r="FU48" s="13" t="s">
        <v>30</v>
      </c>
      <c r="FV48" s="14">
        <v>399726.3</v>
      </c>
      <c r="FW48" s="13" t="s">
        <v>30</v>
      </c>
      <c r="FX48" s="14">
        <v>432131.9</v>
      </c>
      <c r="FY48" s="13" t="s">
        <v>30</v>
      </c>
      <c r="FZ48" s="14">
        <v>472682.5</v>
      </c>
      <c r="GA48" s="13" t="s">
        <v>30</v>
      </c>
      <c r="GB48" s="14">
        <v>437271.6</v>
      </c>
      <c r="GC48" s="13" t="s">
        <v>30</v>
      </c>
      <c r="GD48" s="14">
        <v>432378.9</v>
      </c>
      <c r="GE48" s="13" t="s">
        <v>30</v>
      </c>
      <c r="GF48" s="14">
        <v>443773.7</v>
      </c>
      <c r="GG48" s="13" t="s">
        <v>30</v>
      </c>
      <c r="GH48" s="14">
        <v>488218.6</v>
      </c>
      <c r="GI48" s="13" t="s">
        <v>30</v>
      </c>
      <c r="GJ48" s="14">
        <v>431398.2</v>
      </c>
      <c r="GK48" s="13" t="s">
        <v>30</v>
      </c>
      <c r="GL48" s="14">
        <v>403673.8</v>
      </c>
      <c r="GM48" s="13" t="s">
        <v>30</v>
      </c>
      <c r="GN48" s="14">
        <v>431833.9</v>
      </c>
      <c r="GO48" s="13" t="s">
        <v>30</v>
      </c>
      <c r="GP48" s="14">
        <v>471402.8</v>
      </c>
      <c r="GQ48" s="13" t="s">
        <v>30</v>
      </c>
      <c r="GR48" s="14">
        <v>436305.3</v>
      </c>
      <c r="GS48" s="13" t="s">
        <v>30</v>
      </c>
      <c r="GT48" s="14">
        <v>422154.6</v>
      </c>
      <c r="GU48" s="13" t="s">
        <v>30</v>
      </c>
      <c r="GV48" s="15">
        <v>462999</v>
      </c>
      <c r="GW48" s="13" t="s">
        <v>30</v>
      </c>
      <c r="GX48" s="14">
        <v>509307.5</v>
      </c>
      <c r="GY48" s="13" t="s">
        <v>30</v>
      </c>
      <c r="GZ48" s="14">
        <v>469191.6</v>
      </c>
      <c r="HA48" s="13" t="s">
        <v>30</v>
      </c>
      <c r="HB48" s="14">
        <v>435587.9</v>
      </c>
      <c r="HC48" s="13" t="s">
        <v>30</v>
      </c>
      <c r="HD48" s="14">
        <v>431858.8</v>
      </c>
      <c r="HE48" s="13" t="s">
        <v>30</v>
      </c>
      <c r="HF48" s="14">
        <v>469448.9</v>
      </c>
      <c r="HG48" s="13" t="s">
        <v>30</v>
      </c>
      <c r="HH48" s="14">
        <v>424524.3</v>
      </c>
      <c r="HI48" s="13" t="s">
        <v>30</v>
      </c>
      <c r="HJ48" s="14">
        <v>426612.4</v>
      </c>
      <c r="HK48" s="13" t="s">
        <v>30</v>
      </c>
      <c r="HL48" s="14">
        <v>462301.7</v>
      </c>
      <c r="HM48" s="13" t="s">
        <v>30</v>
      </c>
      <c r="HN48" s="14">
        <v>505321.2</v>
      </c>
      <c r="HO48" s="13" t="s">
        <v>30</v>
      </c>
      <c r="HP48" s="14">
        <v>479135.6</v>
      </c>
      <c r="HQ48" s="13" t="s">
        <v>30</v>
      </c>
      <c r="HR48" s="14">
        <v>451019.5</v>
      </c>
      <c r="HS48" s="13" t="s">
        <v>30</v>
      </c>
      <c r="HT48" s="14">
        <v>476590.1</v>
      </c>
      <c r="HU48" s="13" t="s">
        <v>30</v>
      </c>
      <c r="HV48" s="14">
        <v>535003.1</v>
      </c>
      <c r="HW48" s="13" t="s">
        <v>30</v>
      </c>
      <c r="HX48" s="14">
        <v>516072.3</v>
      </c>
      <c r="HY48" s="13" t="s">
        <v>30</v>
      </c>
      <c r="HZ48" s="14">
        <v>490995.7</v>
      </c>
      <c r="IA48" s="13" t="s">
        <v>30</v>
      </c>
      <c r="IB48" s="14">
        <v>529668.80000000005</v>
      </c>
      <c r="IC48" s="13" t="s">
        <v>30</v>
      </c>
      <c r="ID48" s="14">
        <v>581702.69999999995</v>
      </c>
      <c r="IE48" s="13" t="s">
        <v>30</v>
      </c>
      <c r="IF48" s="14">
        <v>572259.19999999995</v>
      </c>
      <c r="IG48" s="13" t="s">
        <v>30</v>
      </c>
      <c r="IH48" s="14">
        <v>534474.6</v>
      </c>
      <c r="II48" s="13" t="s">
        <v>30</v>
      </c>
      <c r="IJ48" s="14">
        <v>566173.1</v>
      </c>
      <c r="IK48" s="13" t="s">
        <v>30</v>
      </c>
      <c r="IL48" s="14">
        <v>629844.6</v>
      </c>
      <c r="IM48" s="13" t="s">
        <v>30</v>
      </c>
      <c r="IN48" s="14">
        <v>635422.69999999995</v>
      </c>
      <c r="IO48" s="13" t="s">
        <v>30</v>
      </c>
      <c r="IP48" s="14">
        <v>567343.5</v>
      </c>
      <c r="IQ48" s="13" t="s">
        <v>30</v>
      </c>
      <c r="IR48" s="14">
        <v>624721.6</v>
      </c>
      <c r="IS48" s="13" t="s">
        <v>30</v>
      </c>
      <c r="IT48" s="14">
        <v>663787.1</v>
      </c>
      <c r="IU48" s="13" t="s">
        <v>30</v>
      </c>
      <c r="IV48" s="14">
        <v>676579.9</v>
      </c>
      <c r="IW48" s="13" t="s">
        <v>30</v>
      </c>
      <c r="IX48" s="14">
        <v>605277.80000000005</v>
      </c>
      <c r="IY48" s="13" t="s">
        <v>30</v>
      </c>
      <c r="IZ48" s="15">
        <v>639196</v>
      </c>
      <c r="JA48" s="13" t="s">
        <v>30</v>
      </c>
      <c r="JB48" s="14">
        <v>692530.8</v>
      </c>
      <c r="JC48" s="13" t="s">
        <v>30</v>
      </c>
      <c r="JD48" s="14">
        <v>721627.4</v>
      </c>
      <c r="JE48" s="13" t="s">
        <v>30</v>
      </c>
      <c r="JF48" s="14">
        <v>646050.6</v>
      </c>
      <c r="JG48" s="13" t="s">
        <v>30</v>
      </c>
      <c r="JH48" s="14">
        <v>663231.19999999995</v>
      </c>
      <c r="JI48" s="13" t="s">
        <v>30</v>
      </c>
      <c r="JJ48" s="14">
        <v>701598.8</v>
      </c>
      <c r="JK48" s="13" t="s">
        <v>30</v>
      </c>
      <c r="JL48" s="14">
        <v>676957.3</v>
      </c>
      <c r="JM48" s="13" t="s">
        <v>30</v>
      </c>
      <c r="JN48" s="14">
        <v>555744.1</v>
      </c>
      <c r="JO48" s="13" t="s">
        <v>30</v>
      </c>
      <c r="JP48" s="14">
        <v>623962.80000000005</v>
      </c>
      <c r="JQ48" s="13" t="s">
        <v>30</v>
      </c>
      <c r="JR48" s="14">
        <v>695445.9</v>
      </c>
      <c r="JS48" s="13" t="s">
        <v>30</v>
      </c>
      <c r="JT48" s="15">
        <v>692893</v>
      </c>
      <c r="JU48" s="13" t="s">
        <v>30</v>
      </c>
      <c r="JV48" s="14">
        <v>591390.80000000005</v>
      </c>
      <c r="JW48" s="13" t="s">
        <v>30</v>
      </c>
      <c r="JX48" s="14">
        <v>663831.80000000005</v>
      </c>
      <c r="JY48" s="13" t="s">
        <v>30</v>
      </c>
      <c r="JZ48" s="14">
        <v>747330.5</v>
      </c>
      <c r="KA48" s="13" t="s">
        <v>30</v>
      </c>
      <c r="KB48" s="14">
        <v>749622.4</v>
      </c>
      <c r="KC48" s="13" t="s">
        <v>30</v>
      </c>
      <c r="KD48" s="14">
        <v>661297.30000000005</v>
      </c>
      <c r="KE48" s="13" t="s">
        <v>30</v>
      </c>
      <c r="KF48" s="14">
        <v>736453.7</v>
      </c>
      <c r="KG48" s="13" t="s">
        <v>30</v>
      </c>
      <c r="KH48" s="14">
        <v>831421.6</v>
      </c>
      <c r="KI48" s="13" t="s">
        <v>30</v>
      </c>
      <c r="KJ48" s="14">
        <v>835285.7</v>
      </c>
      <c r="KK48" s="13" t="s">
        <v>30</v>
      </c>
      <c r="KL48" s="14">
        <v>703634.9</v>
      </c>
      <c r="KM48" s="13" t="s">
        <v>30</v>
      </c>
      <c r="KN48" s="14">
        <v>783186.5</v>
      </c>
      <c r="KO48" s="13" t="s">
        <v>30</v>
      </c>
      <c r="KP48" s="14">
        <v>871864.9</v>
      </c>
      <c r="KQ48" s="13" t="s">
        <v>30</v>
      </c>
      <c r="KR48" s="14">
        <v>863703.2</v>
      </c>
      <c r="KS48" s="13" t="s">
        <v>30</v>
      </c>
      <c r="KT48" s="14">
        <v>757651.8</v>
      </c>
      <c r="KU48" s="13" t="s">
        <v>30</v>
      </c>
      <c r="KV48" s="14">
        <v>853766.2</v>
      </c>
      <c r="KW48" s="13" t="s">
        <v>30</v>
      </c>
      <c r="KX48" s="14">
        <v>945099.9</v>
      </c>
      <c r="KY48" s="13" t="s">
        <v>30</v>
      </c>
      <c r="KZ48" s="14">
        <v>920745.2</v>
      </c>
      <c r="LA48" s="13" t="s">
        <v>30</v>
      </c>
      <c r="LB48" s="14">
        <v>826099.19999999995</v>
      </c>
      <c r="LC48" s="13" t="s">
        <v>30</v>
      </c>
      <c r="LD48" s="14">
        <v>884045.6</v>
      </c>
      <c r="LE48" s="13" t="s">
        <v>30</v>
      </c>
      <c r="LF48" s="14">
        <v>980275.19999999995</v>
      </c>
      <c r="LG48" s="13" t="s">
        <v>30</v>
      </c>
      <c r="LH48" s="14">
        <v>971647.8</v>
      </c>
      <c r="LI48" s="13" t="s">
        <v>30</v>
      </c>
      <c r="LJ48" s="14">
        <v>844954.4</v>
      </c>
      <c r="LK48" s="13" t="s">
        <v>30</v>
      </c>
      <c r="LL48" s="14">
        <v>935621.5</v>
      </c>
      <c r="LM48" s="13" t="s">
        <v>30</v>
      </c>
      <c r="LN48" s="14">
        <v>1032545.3</v>
      </c>
      <c r="LO48" s="13" t="s">
        <v>30</v>
      </c>
      <c r="LP48" s="14">
        <v>1042925.8</v>
      </c>
      <c r="LQ48" s="13" t="s">
        <v>30</v>
      </c>
      <c r="LR48" s="14">
        <v>888213.2</v>
      </c>
      <c r="LS48" s="13" t="s">
        <v>30</v>
      </c>
      <c r="LT48" s="14">
        <v>984462.8</v>
      </c>
      <c r="LU48" s="13" t="s">
        <v>30</v>
      </c>
      <c r="LV48" s="14">
        <v>1022685.8</v>
      </c>
      <c r="LW48" s="13" t="s">
        <v>30</v>
      </c>
      <c r="LX48" s="14">
        <v>1087117.6000000001</v>
      </c>
      <c r="LY48" s="13" t="s">
        <v>30</v>
      </c>
      <c r="LZ48" s="14">
        <v>942892.4</v>
      </c>
      <c r="MA48" s="13" t="s">
        <v>30</v>
      </c>
      <c r="MB48" s="14">
        <v>1040283.1</v>
      </c>
      <c r="MC48" s="13" t="s">
        <v>30</v>
      </c>
      <c r="MD48" s="14">
        <v>1152008.5</v>
      </c>
      <c r="ME48" s="13" t="s">
        <v>30</v>
      </c>
      <c r="MF48" s="14">
        <v>1178323.8</v>
      </c>
      <c r="MG48" s="13" t="s">
        <v>30</v>
      </c>
      <c r="MH48" s="14">
        <v>1020825.7</v>
      </c>
      <c r="MI48" s="13" t="s">
        <v>30</v>
      </c>
      <c r="MJ48" s="14">
        <v>1108516.2</v>
      </c>
      <c r="MK48" s="13" t="s">
        <v>30</v>
      </c>
      <c r="ML48" s="14">
        <v>1191441.5</v>
      </c>
      <c r="MM48" s="13" t="s">
        <v>30</v>
      </c>
      <c r="MN48" s="14">
        <v>1160574.3999999999</v>
      </c>
      <c r="MO48" s="13" t="s">
        <v>30</v>
      </c>
      <c r="MP48" s="14">
        <v>1007116.4</v>
      </c>
      <c r="MQ48" s="13" t="s">
        <v>30</v>
      </c>
      <c r="MR48" s="14">
        <v>1102844.8</v>
      </c>
      <c r="MS48" s="13" t="s">
        <v>30</v>
      </c>
      <c r="MT48" s="14">
        <v>1205628.3</v>
      </c>
      <c r="MU48" s="13" t="s">
        <v>30</v>
      </c>
      <c r="MV48" s="14">
        <v>1230075.3</v>
      </c>
      <c r="MW48" s="13" t="s">
        <v>30</v>
      </c>
      <c r="MX48" s="14">
        <v>1044394.5</v>
      </c>
      <c r="MY48" s="13" t="s">
        <v>30</v>
      </c>
      <c r="MZ48" s="14">
        <v>981058.1</v>
      </c>
      <c r="NA48" s="13" t="s">
        <v>30</v>
      </c>
      <c r="NB48" s="14">
        <v>1268901.1000000001</v>
      </c>
      <c r="NC48" s="13" t="s">
        <v>30</v>
      </c>
      <c r="ND48" s="14">
        <v>1295265.8</v>
      </c>
      <c r="NE48" s="13" t="s">
        <v>30</v>
      </c>
      <c r="NF48" s="14">
        <v>1124795.8</v>
      </c>
      <c r="NG48" s="13" t="s">
        <v>30</v>
      </c>
      <c r="NH48" s="14">
        <v>1217443.3</v>
      </c>
      <c r="NI48" s="13" t="s">
        <v>30</v>
      </c>
      <c r="NJ48" s="14">
        <v>1395583.8</v>
      </c>
      <c r="NK48" s="13" t="s">
        <v>30</v>
      </c>
      <c r="NL48" s="14">
        <v>1446676.9</v>
      </c>
      <c r="NM48" s="13" t="s">
        <v>30</v>
      </c>
      <c r="NN48" s="14">
        <v>1227165.1000000001</v>
      </c>
      <c r="NO48" s="13" t="s">
        <v>30</v>
      </c>
      <c r="NP48" s="14">
        <v>1320883.6000000001</v>
      </c>
      <c r="NQ48" s="13" t="s">
        <v>30</v>
      </c>
      <c r="NR48" s="14">
        <v>1454537.9</v>
      </c>
      <c r="NS48" s="13" t="s">
        <v>30</v>
      </c>
      <c r="NT48" s="15">
        <v>1492590</v>
      </c>
      <c r="NU48" s="13" t="s">
        <v>30</v>
      </c>
      <c r="NV48" s="15">
        <v>1269057</v>
      </c>
      <c r="NW48" s="13" t="s">
        <v>30</v>
      </c>
      <c r="NX48" s="14">
        <v>1364921.6</v>
      </c>
      <c r="NY48" s="13" t="s">
        <v>30</v>
      </c>
      <c r="NZ48" s="14">
        <v>1539720.9</v>
      </c>
      <c r="OA48" s="13" t="s">
        <v>30</v>
      </c>
      <c r="OB48" s="14">
        <v>1551156.6</v>
      </c>
      <c r="OC48" s="13" t="s">
        <v>30</v>
      </c>
      <c r="OD48" s="14">
        <v>1336270.3999999999</v>
      </c>
      <c r="OE48" s="13" t="s">
        <v>30</v>
      </c>
      <c r="OF48" s="14">
        <v>1389076.3</v>
      </c>
      <c r="OG48" s="13" t="s">
        <v>30</v>
      </c>
      <c r="OH48" s="14">
        <v>1580735.6</v>
      </c>
      <c r="OI48" s="13" t="s">
        <v>30</v>
      </c>
      <c r="OJ48" s="14">
        <v>1587207.4</v>
      </c>
      <c r="OK48" s="13" t="s">
        <v>30</v>
      </c>
      <c r="OL48" s="14">
        <v>1363170.5</v>
      </c>
      <c r="OM48" s="13" t="s">
        <v>30</v>
      </c>
      <c r="ON48" s="14">
        <v>1459056.9</v>
      </c>
      <c r="OO48" s="13" t="s">
        <v>30</v>
      </c>
      <c r="OP48" s="13" t="s">
        <v>235</v>
      </c>
      <c r="OQ48" s="13" t="s">
        <v>30</v>
      </c>
    </row>
    <row r="49" spans="1:407" x14ac:dyDescent="0.3">
      <c r="A49" s="12" t="s">
        <v>275</v>
      </c>
      <c r="B49" s="16" t="s">
        <v>235</v>
      </c>
      <c r="C49" s="16" t="s">
        <v>30</v>
      </c>
      <c r="D49" s="16" t="s">
        <v>235</v>
      </c>
      <c r="E49" s="16" t="s">
        <v>30</v>
      </c>
      <c r="F49" s="16" t="s">
        <v>235</v>
      </c>
      <c r="G49" s="16" t="s">
        <v>30</v>
      </c>
      <c r="H49" s="16" t="s">
        <v>235</v>
      </c>
      <c r="I49" s="16" t="s">
        <v>30</v>
      </c>
      <c r="J49" s="16" t="s">
        <v>235</v>
      </c>
      <c r="K49" s="16" t="s">
        <v>30</v>
      </c>
      <c r="L49" s="16" t="s">
        <v>235</v>
      </c>
      <c r="M49" s="16" t="s">
        <v>30</v>
      </c>
      <c r="N49" s="16" t="s">
        <v>235</v>
      </c>
      <c r="O49" s="16" t="s">
        <v>30</v>
      </c>
      <c r="P49" s="16" t="s">
        <v>235</v>
      </c>
      <c r="Q49" s="16" t="s">
        <v>30</v>
      </c>
      <c r="R49" s="16" t="s">
        <v>235</v>
      </c>
      <c r="S49" s="16" t="s">
        <v>30</v>
      </c>
      <c r="T49" s="16" t="s">
        <v>235</v>
      </c>
      <c r="U49" s="16" t="s">
        <v>30</v>
      </c>
      <c r="V49" s="16" t="s">
        <v>235</v>
      </c>
      <c r="W49" s="16" t="s">
        <v>30</v>
      </c>
      <c r="X49" s="16" t="s">
        <v>235</v>
      </c>
      <c r="Y49" s="16" t="s">
        <v>30</v>
      </c>
      <c r="Z49" s="16" t="s">
        <v>235</v>
      </c>
      <c r="AA49" s="16" t="s">
        <v>30</v>
      </c>
      <c r="AB49" s="16" t="s">
        <v>235</v>
      </c>
      <c r="AC49" s="16" t="s">
        <v>30</v>
      </c>
      <c r="AD49" s="16" t="s">
        <v>235</v>
      </c>
      <c r="AE49" s="16" t="s">
        <v>30</v>
      </c>
      <c r="AF49" s="16" t="s">
        <v>235</v>
      </c>
      <c r="AG49" s="16" t="s">
        <v>30</v>
      </c>
      <c r="AH49" s="16" t="s">
        <v>235</v>
      </c>
      <c r="AI49" s="16" t="s">
        <v>30</v>
      </c>
      <c r="AJ49" s="16" t="s">
        <v>235</v>
      </c>
      <c r="AK49" s="16" t="s">
        <v>30</v>
      </c>
      <c r="AL49" s="16" t="s">
        <v>235</v>
      </c>
      <c r="AM49" s="16" t="s">
        <v>30</v>
      </c>
      <c r="AN49" s="16" t="s">
        <v>235</v>
      </c>
      <c r="AO49" s="16" t="s">
        <v>30</v>
      </c>
      <c r="AP49" s="16" t="s">
        <v>235</v>
      </c>
      <c r="AQ49" s="16" t="s">
        <v>30</v>
      </c>
      <c r="AR49" s="16" t="s">
        <v>235</v>
      </c>
      <c r="AS49" s="16" t="s">
        <v>30</v>
      </c>
      <c r="AT49" s="16" t="s">
        <v>235</v>
      </c>
      <c r="AU49" s="16" t="s">
        <v>30</v>
      </c>
      <c r="AV49" s="16" t="s">
        <v>235</v>
      </c>
      <c r="AW49" s="16" t="s">
        <v>30</v>
      </c>
      <c r="AX49" s="16" t="s">
        <v>235</v>
      </c>
      <c r="AY49" s="16" t="s">
        <v>30</v>
      </c>
      <c r="AZ49" s="16" t="s">
        <v>235</v>
      </c>
      <c r="BA49" s="16" t="s">
        <v>30</v>
      </c>
      <c r="BB49" s="16" t="s">
        <v>235</v>
      </c>
      <c r="BC49" s="16" t="s">
        <v>30</v>
      </c>
      <c r="BD49" s="16" t="s">
        <v>235</v>
      </c>
      <c r="BE49" s="16" t="s">
        <v>30</v>
      </c>
      <c r="BF49" s="16" t="s">
        <v>235</v>
      </c>
      <c r="BG49" s="16" t="s">
        <v>30</v>
      </c>
      <c r="BH49" s="16" t="s">
        <v>235</v>
      </c>
      <c r="BI49" s="16" t="s">
        <v>30</v>
      </c>
      <c r="BJ49" s="16" t="s">
        <v>235</v>
      </c>
      <c r="BK49" s="16" t="s">
        <v>30</v>
      </c>
      <c r="BL49" s="16" t="s">
        <v>235</v>
      </c>
      <c r="BM49" s="16" t="s">
        <v>30</v>
      </c>
      <c r="BN49" s="16" t="s">
        <v>235</v>
      </c>
      <c r="BO49" s="16" t="s">
        <v>30</v>
      </c>
      <c r="BP49" s="16" t="s">
        <v>235</v>
      </c>
      <c r="BQ49" s="16" t="s">
        <v>30</v>
      </c>
      <c r="BR49" s="16" t="s">
        <v>235</v>
      </c>
      <c r="BS49" s="16" t="s">
        <v>30</v>
      </c>
      <c r="BT49" s="16" t="s">
        <v>235</v>
      </c>
      <c r="BU49" s="16" t="s">
        <v>30</v>
      </c>
      <c r="BV49" s="16" t="s">
        <v>235</v>
      </c>
      <c r="BW49" s="16" t="s">
        <v>30</v>
      </c>
      <c r="BX49" s="16" t="s">
        <v>235</v>
      </c>
      <c r="BY49" s="16" t="s">
        <v>30</v>
      </c>
      <c r="BZ49" s="16" t="s">
        <v>235</v>
      </c>
      <c r="CA49" s="16" t="s">
        <v>30</v>
      </c>
      <c r="CB49" s="16" t="s">
        <v>235</v>
      </c>
      <c r="CC49" s="16" t="s">
        <v>30</v>
      </c>
      <c r="CD49" s="16" t="s">
        <v>235</v>
      </c>
      <c r="CE49" s="16" t="s">
        <v>30</v>
      </c>
      <c r="CF49" s="16" t="s">
        <v>235</v>
      </c>
      <c r="CG49" s="16" t="s">
        <v>30</v>
      </c>
      <c r="CH49" s="16" t="s">
        <v>235</v>
      </c>
      <c r="CI49" s="16" t="s">
        <v>30</v>
      </c>
      <c r="CJ49" s="16" t="s">
        <v>235</v>
      </c>
      <c r="CK49" s="16" t="s">
        <v>30</v>
      </c>
      <c r="CL49" s="16" t="s">
        <v>235</v>
      </c>
      <c r="CM49" s="16" t="s">
        <v>30</v>
      </c>
      <c r="CN49" s="16" t="s">
        <v>235</v>
      </c>
      <c r="CO49" s="16" t="s">
        <v>30</v>
      </c>
      <c r="CP49" s="16" t="s">
        <v>235</v>
      </c>
      <c r="CQ49" s="16" t="s">
        <v>30</v>
      </c>
      <c r="CR49" s="16" t="s">
        <v>235</v>
      </c>
      <c r="CS49" s="16" t="s">
        <v>30</v>
      </c>
      <c r="CT49" s="16" t="s">
        <v>235</v>
      </c>
      <c r="CU49" s="16" t="s">
        <v>30</v>
      </c>
      <c r="CV49" s="16" t="s">
        <v>235</v>
      </c>
      <c r="CW49" s="16" t="s">
        <v>30</v>
      </c>
      <c r="CX49" s="16" t="s">
        <v>235</v>
      </c>
      <c r="CY49" s="16" t="s">
        <v>30</v>
      </c>
      <c r="CZ49" s="16" t="s">
        <v>235</v>
      </c>
      <c r="DA49" s="16" t="s">
        <v>30</v>
      </c>
      <c r="DB49" s="16" t="s">
        <v>235</v>
      </c>
      <c r="DC49" s="16" t="s">
        <v>30</v>
      </c>
      <c r="DD49" s="16" t="s">
        <v>235</v>
      </c>
      <c r="DE49" s="16" t="s">
        <v>30</v>
      </c>
      <c r="DF49" s="16" t="s">
        <v>235</v>
      </c>
      <c r="DG49" s="16" t="s">
        <v>30</v>
      </c>
      <c r="DH49" s="16" t="s">
        <v>235</v>
      </c>
      <c r="DI49" s="16" t="s">
        <v>30</v>
      </c>
      <c r="DJ49" s="16" t="s">
        <v>235</v>
      </c>
      <c r="DK49" s="16" t="s">
        <v>30</v>
      </c>
      <c r="DL49" s="16" t="s">
        <v>235</v>
      </c>
      <c r="DM49" s="16" t="s">
        <v>30</v>
      </c>
      <c r="DN49" s="16" t="s">
        <v>235</v>
      </c>
      <c r="DO49" s="16" t="s">
        <v>30</v>
      </c>
      <c r="DP49" s="16" t="s">
        <v>235</v>
      </c>
      <c r="DQ49" s="16" t="s">
        <v>30</v>
      </c>
      <c r="DR49" s="16" t="s">
        <v>235</v>
      </c>
      <c r="DS49" s="16" t="s">
        <v>30</v>
      </c>
      <c r="DT49" s="16" t="s">
        <v>235</v>
      </c>
      <c r="DU49" s="16" t="s">
        <v>30</v>
      </c>
      <c r="DV49" s="16" t="s">
        <v>235</v>
      </c>
      <c r="DW49" s="16" t="s">
        <v>30</v>
      </c>
      <c r="DX49" s="16" t="s">
        <v>235</v>
      </c>
      <c r="DY49" s="16" t="s">
        <v>30</v>
      </c>
      <c r="DZ49" s="16" t="s">
        <v>235</v>
      </c>
      <c r="EA49" s="16" t="s">
        <v>30</v>
      </c>
      <c r="EB49" s="16" t="s">
        <v>235</v>
      </c>
      <c r="EC49" s="16" t="s">
        <v>30</v>
      </c>
      <c r="ED49" s="16" t="s">
        <v>235</v>
      </c>
      <c r="EE49" s="16" t="s">
        <v>30</v>
      </c>
      <c r="EF49" s="16" t="s">
        <v>235</v>
      </c>
      <c r="EG49" s="16" t="s">
        <v>30</v>
      </c>
      <c r="EH49" s="16" t="s">
        <v>235</v>
      </c>
      <c r="EI49" s="16" t="s">
        <v>30</v>
      </c>
      <c r="EJ49" s="16" t="s">
        <v>235</v>
      </c>
      <c r="EK49" s="16" t="s">
        <v>30</v>
      </c>
      <c r="EL49" s="16" t="s">
        <v>235</v>
      </c>
      <c r="EM49" s="16" t="s">
        <v>30</v>
      </c>
      <c r="EN49" s="16" t="s">
        <v>235</v>
      </c>
      <c r="EO49" s="16" t="s">
        <v>30</v>
      </c>
      <c r="EP49" s="16" t="s">
        <v>235</v>
      </c>
      <c r="EQ49" s="16" t="s">
        <v>30</v>
      </c>
      <c r="ER49" s="16" t="s">
        <v>235</v>
      </c>
      <c r="ES49" s="16" t="s">
        <v>30</v>
      </c>
      <c r="ET49" s="16" t="s">
        <v>235</v>
      </c>
      <c r="EU49" s="16" t="s">
        <v>30</v>
      </c>
      <c r="EV49" s="16" t="s">
        <v>235</v>
      </c>
      <c r="EW49" s="16" t="s">
        <v>30</v>
      </c>
      <c r="EX49" s="16" t="s">
        <v>235</v>
      </c>
      <c r="EY49" s="16" t="s">
        <v>30</v>
      </c>
      <c r="EZ49" s="16" t="s">
        <v>235</v>
      </c>
      <c r="FA49" s="16" t="s">
        <v>30</v>
      </c>
      <c r="FB49" s="16" t="s">
        <v>235</v>
      </c>
      <c r="FC49" s="16" t="s">
        <v>30</v>
      </c>
      <c r="FD49" s="16" t="s">
        <v>235</v>
      </c>
      <c r="FE49" s="16" t="s">
        <v>30</v>
      </c>
      <c r="FF49" s="16" t="s">
        <v>235</v>
      </c>
      <c r="FG49" s="16" t="s">
        <v>30</v>
      </c>
      <c r="FH49" s="16" t="s">
        <v>235</v>
      </c>
      <c r="FI49" s="16" t="s">
        <v>30</v>
      </c>
      <c r="FJ49" s="16" t="s">
        <v>235</v>
      </c>
      <c r="FK49" s="16" t="s">
        <v>30</v>
      </c>
      <c r="FL49" s="16" t="s">
        <v>235</v>
      </c>
      <c r="FM49" s="16" t="s">
        <v>30</v>
      </c>
      <c r="FN49" s="16" t="s">
        <v>235</v>
      </c>
      <c r="FO49" s="16" t="s">
        <v>30</v>
      </c>
      <c r="FP49" s="16" t="s">
        <v>235</v>
      </c>
      <c r="FQ49" s="16" t="s">
        <v>30</v>
      </c>
      <c r="FR49" s="16" t="s">
        <v>235</v>
      </c>
      <c r="FS49" s="16" t="s">
        <v>30</v>
      </c>
      <c r="FT49" s="16" t="s">
        <v>235</v>
      </c>
      <c r="FU49" s="16" t="s">
        <v>30</v>
      </c>
      <c r="FV49" s="16" t="s">
        <v>235</v>
      </c>
      <c r="FW49" s="16" t="s">
        <v>30</v>
      </c>
      <c r="FX49" s="16" t="s">
        <v>235</v>
      </c>
      <c r="FY49" s="16" t="s">
        <v>30</v>
      </c>
      <c r="FZ49" s="16" t="s">
        <v>235</v>
      </c>
      <c r="GA49" s="16" t="s">
        <v>30</v>
      </c>
      <c r="GB49" s="16" t="s">
        <v>235</v>
      </c>
      <c r="GC49" s="16" t="s">
        <v>30</v>
      </c>
      <c r="GD49" s="16" t="s">
        <v>235</v>
      </c>
      <c r="GE49" s="16" t="s">
        <v>30</v>
      </c>
      <c r="GF49" s="16" t="s">
        <v>235</v>
      </c>
      <c r="GG49" s="16" t="s">
        <v>30</v>
      </c>
      <c r="GH49" s="16" t="s">
        <v>235</v>
      </c>
      <c r="GI49" s="16" t="s">
        <v>30</v>
      </c>
      <c r="GJ49" s="16" t="s">
        <v>235</v>
      </c>
      <c r="GK49" s="16" t="s">
        <v>30</v>
      </c>
      <c r="GL49" s="16" t="s">
        <v>235</v>
      </c>
      <c r="GM49" s="16" t="s">
        <v>30</v>
      </c>
      <c r="GN49" s="16" t="s">
        <v>235</v>
      </c>
      <c r="GO49" s="16" t="s">
        <v>30</v>
      </c>
      <c r="GP49" s="16" t="s">
        <v>235</v>
      </c>
      <c r="GQ49" s="16" t="s">
        <v>30</v>
      </c>
      <c r="GR49" s="16" t="s">
        <v>235</v>
      </c>
      <c r="GS49" s="16" t="s">
        <v>30</v>
      </c>
      <c r="GT49" s="16" t="s">
        <v>235</v>
      </c>
      <c r="GU49" s="16" t="s">
        <v>30</v>
      </c>
      <c r="GV49" s="16" t="s">
        <v>235</v>
      </c>
      <c r="GW49" s="16" t="s">
        <v>30</v>
      </c>
      <c r="GX49" s="16" t="s">
        <v>235</v>
      </c>
      <c r="GY49" s="16" t="s">
        <v>30</v>
      </c>
      <c r="GZ49" s="16" t="s">
        <v>235</v>
      </c>
      <c r="HA49" s="16" t="s">
        <v>30</v>
      </c>
      <c r="HB49" s="16" t="s">
        <v>235</v>
      </c>
      <c r="HC49" s="16" t="s">
        <v>30</v>
      </c>
      <c r="HD49" s="16" t="s">
        <v>235</v>
      </c>
      <c r="HE49" s="16" t="s">
        <v>30</v>
      </c>
      <c r="HF49" s="16" t="s">
        <v>235</v>
      </c>
      <c r="HG49" s="16" t="s">
        <v>30</v>
      </c>
      <c r="HH49" s="16" t="s">
        <v>235</v>
      </c>
      <c r="HI49" s="16" t="s">
        <v>30</v>
      </c>
      <c r="HJ49" s="16" t="s">
        <v>235</v>
      </c>
      <c r="HK49" s="16" t="s">
        <v>30</v>
      </c>
      <c r="HL49" s="16" t="s">
        <v>235</v>
      </c>
      <c r="HM49" s="16" t="s">
        <v>30</v>
      </c>
      <c r="HN49" s="16" t="s">
        <v>235</v>
      </c>
      <c r="HO49" s="16" t="s">
        <v>30</v>
      </c>
      <c r="HP49" s="16" t="s">
        <v>235</v>
      </c>
      <c r="HQ49" s="16" t="s">
        <v>30</v>
      </c>
      <c r="HR49" s="16" t="s">
        <v>235</v>
      </c>
      <c r="HS49" s="16" t="s">
        <v>30</v>
      </c>
      <c r="HT49" s="16" t="s">
        <v>235</v>
      </c>
      <c r="HU49" s="16" t="s">
        <v>30</v>
      </c>
      <c r="HV49" s="16" t="s">
        <v>235</v>
      </c>
      <c r="HW49" s="16" t="s">
        <v>30</v>
      </c>
      <c r="HX49" s="16" t="s">
        <v>235</v>
      </c>
      <c r="HY49" s="16" t="s">
        <v>30</v>
      </c>
      <c r="HZ49" s="16" t="s">
        <v>235</v>
      </c>
      <c r="IA49" s="16" t="s">
        <v>30</v>
      </c>
      <c r="IB49" s="16" t="s">
        <v>235</v>
      </c>
      <c r="IC49" s="16" t="s">
        <v>30</v>
      </c>
      <c r="ID49" s="16" t="s">
        <v>235</v>
      </c>
      <c r="IE49" s="16" t="s">
        <v>30</v>
      </c>
      <c r="IF49" s="16" t="s">
        <v>235</v>
      </c>
      <c r="IG49" s="16" t="s">
        <v>30</v>
      </c>
      <c r="IH49" s="16" t="s">
        <v>235</v>
      </c>
      <c r="II49" s="16" t="s">
        <v>30</v>
      </c>
      <c r="IJ49" s="16" t="s">
        <v>235</v>
      </c>
      <c r="IK49" s="16" t="s">
        <v>30</v>
      </c>
      <c r="IL49" s="16" t="s">
        <v>235</v>
      </c>
      <c r="IM49" s="16" t="s">
        <v>30</v>
      </c>
      <c r="IN49" s="16" t="s">
        <v>235</v>
      </c>
      <c r="IO49" s="16" t="s">
        <v>30</v>
      </c>
      <c r="IP49" s="16" t="s">
        <v>235</v>
      </c>
      <c r="IQ49" s="16" t="s">
        <v>30</v>
      </c>
      <c r="IR49" s="16" t="s">
        <v>235</v>
      </c>
      <c r="IS49" s="16" t="s">
        <v>30</v>
      </c>
      <c r="IT49" s="16" t="s">
        <v>235</v>
      </c>
      <c r="IU49" s="16" t="s">
        <v>30</v>
      </c>
      <c r="IV49" s="16" t="s">
        <v>235</v>
      </c>
      <c r="IW49" s="16" t="s">
        <v>30</v>
      </c>
      <c r="IX49" s="16" t="s">
        <v>235</v>
      </c>
      <c r="IY49" s="16" t="s">
        <v>30</v>
      </c>
      <c r="IZ49" s="16" t="s">
        <v>235</v>
      </c>
      <c r="JA49" s="16" t="s">
        <v>30</v>
      </c>
      <c r="JB49" s="16" t="s">
        <v>235</v>
      </c>
      <c r="JC49" s="16" t="s">
        <v>30</v>
      </c>
      <c r="JD49" s="16" t="s">
        <v>235</v>
      </c>
      <c r="JE49" s="16" t="s">
        <v>30</v>
      </c>
      <c r="JF49" s="16" t="s">
        <v>235</v>
      </c>
      <c r="JG49" s="16" t="s">
        <v>30</v>
      </c>
      <c r="JH49" s="16" t="s">
        <v>235</v>
      </c>
      <c r="JI49" s="16" t="s">
        <v>30</v>
      </c>
      <c r="JJ49" s="16" t="s">
        <v>235</v>
      </c>
      <c r="JK49" s="16" t="s">
        <v>30</v>
      </c>
      <c r="JL49" s="16" t="s">
        <v>235</v>
      </c>
      <c r="JM49" s="16" t="s">
        <v>30</v>
      </c>
      <c r="JN49" s="16" t="s">
        <v>235</v>
      </c>
      <c r="JO49" s="16" t="s">
        <v>30</v>
      </c>
      <c r="JP49" s="16" t="s">
        <v>235</v>
      </c>
      <c r="JQ49" s="16" t="s">
        <v>30</v>
      </c>
      <c r="JR49" s="16" t="s">
        <v>235</v>
      </c>
      <c r="JS49" s="16" t="s">
        <v>30</v>
      </c>
      <c r="JT49" s="16" t="s">
        <v>235</v>
      </c>
      <c r="JU49" s="16" t="s">
        <v>30</v>
      </c>
      <c r="JV49" s="16" t="s">
        <v>235</v>
      </c>
      <c r="JW49" s="16" t="s">
        <v>30</v>
      </c>
      <c r="JX49" s="16" t="s">
        <v>235</v>
      </c>
      <c r="JY49" s="16" t="s">
        <v>30</v>
      </c>
      <c r="JZ49" s="16" t="s">
        <v>235</v>
      </c>
      <c r="KA49" s="16" t="s">
        <v>30</v>
      </c>
      <c r="KB49" s="16" t="s">
        <v>235</v>
      </c>
      <c r="KC49" s="16" t="s">
        <v>30</v>
      </c>
      <c r="KD49" s="16" t="s">
        <v>235</v>
      </c>
      <c r="KE49" s="16" t="s">
        <v>30</v>
      </c>
      <c r="KF49" s="16" t="s">
        <v>235</v>
      </c>
      <c r="KG49" s="16" t="s">
        <v>30</v>
      </c>
      <c r="KH49" s="16" t="s">
        <v>235</v>
      </c>
      <c r="KI49" s="16" t="s">
        <v>30</v>
      </c>
      <c r="KJ49" s="16" t="s">
        <v>235</v>
      </c>
      <c r="KK49" s="16" t="s">
        <v>30</v>
      </c>
      <c r="KL49" s="16" t="s">
        <v>235</v>
      </c>
      <c r="KM49" s="16" t="s">
        <v>30</v>
      </c>
      <c r="KN49" s="16" t="s">
        <v>235</v>
      </c>
      <c r="KO49" s="16" t="s">
        <v>30</v>
      </c>
      <c r="KP49" s="16" t="s">
        <v>235</v>
      </c>
      <c r="KQ49" s="16" t="s">
        <v>30</v>
      </c>
      <c r="KR49" s="16" t="s">
        <v>235</v>
      </c>
      <c r="KS49" s="16" t="s">
        <v>30</v>
      </c>
      <c r="KT49" s="16" t="s">
        <v>235</v>
      </c>
      <c r="KU49" s="16" t="s">
        <v>30</v>
      </c>
      <c r="KV49" s="16" t="s">
        <v>235</v>
      </c>
      <c r="KW49" s="16" t="s">
        <v>30</v>
      </c>
      <c r="KX49" s="16" t="s">
        <v>235</v>
      </c>
      <c r="KY49" s="16" t="s">
        <v>30</v>
      </c>
      <c r="KZ49" s="16" t="s">
        <v>235</v>
      </c>
      <c r="LA49" s="16" t="s">
        <v>30</v>
      </c>
      <c r="LB49" s="16" t="s">
        <v>235</v>
      </c>
      <c r="LC49" s="16" t="s">
        <v>30</v>
      </c>
      <c r="LD49" s="16" t="s">
        <v>235</v>
      </c>
      <c r="LE49" s="16" t="s">
        <v>30</v>
      </c>
      <c r="LF49" s="16" t="s">
        <v>235</v>
      </c>
      <c r="LG49" s="16" t="s">
        <v>30</v>
      </c>
      <c r="LH49" s="16" t="s">
        <v>235</v>
      </c>
      <c r="LI49" s="16" t="s">
        <v>30</v>
      </c>
      <c r="LJ49" s="16" t="s">
        <v>235</v>
      </c>
      <c r="LK49" s="16" t="s">
        <v>30</v>
      </c>
      <c r="LL49" s="16" t="s">
        <v>235</v>
      </c>
      <c r="LM49" s="16" t="s">
        <v>30</v>
      </c>
      <c r="LN49" s="16" t="s">
        <v>235</v>
      </c>
      <c r="LO49" s="16" t="s">
        <v>30</v>
      </c>
      <c r="LP49" s="16" t="s">
        <v>235</v>
      </c>
      <c r="LQ49" s="16" t="s">
        <v>30</v>
      </c>
      <c r="LR49" s="16" t="s">
        <v>235</v>
      </c>
      <c r="LS49" s="16" t="s">
        <v>30</v>
      </c>
      <c r="LT49" s="16" t="s">
        <v>235</v>
      </c>
      <c r="LU49" s="16" t="s">
        <v>30</v>
      </c>
      <c r="LV49" s="16" t="s">
        <v>235</v>
      </c>
      <c r="LW49" s="16" t="s">
        <v>30</v>
      </c>
      <c r="LX49" s="16" t="s">
        <v>235</v>
      </c>
      <c r="LY49" s="16" t="s">
        <v>30</v>
      </c>
      <c r="LZ49" s="16" t="s">
        <v>235</v>
      </c>
      <c r="MA49" s="16" t="s">
        <v>30</v>
      </c>
      <c r="MB49" s="16" t="s">
        <v>235</v>
      </c>
      <c r="MC49" s="16" t="s">
        <v>30</v>
      </c>
      <c r="MD49" s="16" t="s">
        <v>235</v>
      </c>
      <c r="ME49" s="16" t="s">
        <v>30</v>
      </c>
      <c r="MF49" s="16" t="s">
        <v>235</v>
      </c>
      <c r="MG49" s="16" t="s">
        <v>30</v>
      </c>
      <c r="MH49" s="16" t="s">
        <v>235</v>
      </c>
      <c r="MI49" s="16" t="s">
        <v>30</v>
      </c>
      <c r="MJ49" s="16" t="s">
        <v>235</v>
      </c>
      <c r="MK49" s="16" t="s">
        <v>30</v>
      </c>
      <c r="ML49" s="16" t="s">
        <v>235</v>
      </c>
      <c r="MM49" s="16" t="s">
        <v>30</v>
      </c>
      <c r="MN49" s="16" t="s">
        <v>235</v>
      </c>
      <c r="MO49" s="16" t="s">
        <v>30</v>
      </c>
      <c r="MP49" s="16" t="s">
        <v>235</v>
      </c>
      <c r="MQ49" s="16" t="s">
        <v>30</v>
      </c>
      <c r="MR49" s="16" t="s">
        <v>235</v>
      </c>
      <c r="MS49" s="16" t="s">
        <v>30</v>
      </c>
      <c r="MT49" s="16" t="s">
        <v>235</v>
      </c>
      <c r="MU49" s="16" t="s">
        <v>30</v>
      </c>
      <c r="MV49" s="16" t="s">
        <v>235</v>
      </c>
      <c r="MW49" s="16" t="s">
        <v>30</v>
      </c>
      <c r="MX49" s="16" t="s">
        <v>235</v>
      </c>
      <c r="MY49" s="16" t="s">
        <v>30</v>
      </c>
      <c r="MZ49" s="16" t="s">
        <v>235</v>
      </c>
      <c r="NA49" s="16" t="s">
        <v>30</v>
      </c>
      <c r="NB49" s="16" t="s">
        <v>235</v>
      </c>
      <c r="NC49" s="16" t="s">
        <v>30</v>
      </c>
      <c r="ND49" s="16" t="s">
        <v>235</v>
      </c>
      <c r="NE49" s="16" t="s">
        <v>30</v>
      </c>
      <c r="NF49" s="16" t="s">
        <v>235</v>
      </c>
      <c r="NG49" s="16" t="s">
        <v>30</v>
      </c>
      <c r="NH49" s="16" t="s">
        <v>235</v>
      </c>
      <c r="NI49" s="16" t="s">
        <v>30</v>
      </c>
      <c r="NJ49" s="16" t="s">
        <v>235</v>
      </c>
      <c r="NK49" s="16" t="s">
        <v>30</v>
      </c>
      <c r="NL49" s="16" t="s">
        <v>235</v>
      </c>
      <c r="NM49" s="16" t="s">
        <v>30</v>
      </c>
      <c r="NN49" s="16" t="s">
        <v>235</v>
      </c>
      <c r="NO49" s="16" t="s">
        <v>276</v>
      </c>
      <c r="NP49" s="16" t="s">
        <v>235</v>
      </c>
      <c r="NQ49" s="16" t="s">
        <v>276</v>
      </c>
      <c r="NR49" s="16" t="s">
        <v>235</v>
      </c>
      <c r="NS49" s="16" t="s">
        <v>276</v>
      </c>
      <c r="NT49" s="16" t="s">
        <v>235</v>
      </c>
      <c r="NU49" s="16" t="s">
        <v>276</v>
      </c>
      <c r="NV49" s="16" t="s">
        <v>235</v>
      </c>
      <c r="NW49" s="16" t="s">
        <v>276</v>
      </c>
      <c r="NX49" s="16" t="s">
        <v>235</v>
      </c>
      <c r="NY49" s="16" t="s">
        <v>276</v>
      </c>
      <c r="NZ49" s="16" t="s">
        <v>235</v>
      </c>
      <c r="OA49" s="16" t="s">
        <v>276</v>
      </c>
      <c r="OB49" s="16" t="s">
        <v>235</v>
      </c>
      <c r="OC49" s="16" t="s">
        <v>276</v>
      </c>
      <c r="OD49" s="16" t="s">
        <v>235</v>
      </c>
      <c r="OE49" s="16" t="s">
        <v>276</v>
      </c>
      <c r="OF49" s="16" t="s">
        <v>235</v>
      </c>
      <c r="OG49" s="16" t="s">
        <v>276</v>
      </c>
      <c r="OH49" s="16" t="s">
        <v>235</v>
      </c>
      <c r="OI49" s="16" t="s">
        <v>276</v>
      </c>
      <c r="OJ49" s="16" t="s">
        <v>235</v>
      </c>
      <c r="OK49" s="16" t="s">
        <v>276</v>
      </c>
      <c r="OL49" s="16" t="s">
        <v>235</v>
      </c>
      <c r="OM49" s="16" t="s">
        <v>276</v>
      </c>
      <c r="ON49" s="16" t="s">
        <v>235</v>
      </c>
      <c r="OO49" s="16" t="s">
        <v>276</v>
      </c>
      <c r="OP49" s="16" t="s">
        <v>235</v>
      </c>
      <c r="OQ49" s="16" t="s">
        <v>30</v>
      </c>
    </row>
    <row r="51" spans="1:407" x14ac:dyDescent="0.3">
      <c r="A51" s="8" t="s">
        <v>277</v>
      </c>
    </row>
    <row r="52" spans="1:407" x14ac:dyDescent="0.3">
      <c r="A52" s="8" t="s">
        <v>235</v>
      </c>
      <c r="B52" s="6" t="s">
        <v>278</v>
      </c>
    </row>
    <row r="53" spans="1:407" x14ac:dyDescent="0.3">
      <c r="A53" s="8" t="s">
        <v>279</v>
      </c>
    </row>
    <row r="54" spans="1:407" x14ac:dyDescent="0.3">
      <c r="A54" s="8" t="s">
        <v>236</v>
      </c>
      <c r="B54" s="6" t="s">
        <v>280</v>
      </c>
    </row>
    <row r="55" spans="1:407" x14ac:dyDescent="0.3">
      <c r="A55" s="8" t="s">
        <v>271</v>
      </c>
      <c r="B55" s="6" t="s">
        <v>281</v>
      </c>
    </row>
    <row r="56" spans="1:407" x14ac:dyDescent="0.3">
      <c r="A56" s="8" t="s">
        <v>237</v>
      </c>
      <c r="B56" s="6" t="s">
        <v>282</v>
      </c>
    </row>
    <row r="57" spans="1:407" x14ac:dyDescent="0.3">
      <c r="A57" s="8" t="s">
        <v>283</v>
      </c>
    </row>
    <row r="58" spans="1:407" x14ac:dyDescent="0.3">
      <c r="A58" s="8" t="s">
        <v>276</v>
      </c>
      <c r="B58" s="6" t="s">
        <v>284</v>
      </c>
    </row>
  </sheetData>
  <mergeCells count="203">
    <mergeCell ref="N10:O10"/>
    <mergeCell ref="P10:Q10"/>
    <mergeCell ref="R10:S10"/>
    <mergeCell ref="T10:U10"/>
    <mergeCell ref="V10:W10"/>
    <mergeCell ref="X10:Y10"/>
    <mergeCell ref="B10:C10"/>
    <mergeCell ref="D10:E10"/>
    <mergeCell ref="F10:G10"/>
    <mergeCell ref="H10:I10"/>
    <mergeCell ref="J10:K10"/>
    <mergeCell ref="L10:M10"/>
    <mergeCell ref="AL10:AM10"/>
    <mergeCell ref="AN10:AO10"/>
    <mergeCell ref="AP10:AQ10"/>
    <mergeCell ref="AR10:AS10"/>
    <mergeCell ref="AT10:AU10"/>
    <mergeCell ref="AV10:AW10"/>
    <mergeCell ref="Z10:AA10"/>
    <mergeCell ref="AB10:AC10"/>
    <mergeCell ref="AD10:AE10"/>
    <mergeCell ref="AF10:AG10"/>
    <mergeCell ref="AH10:AI10"/>
    <mergeCell ref="AJ10:AK10"/>
    <mergeCell ref="BJ10:BK10"/>
    <mergeCell ref="BL10:BM10"/>
    <mergeCell ref="BN10:BO10"/>
    <mergeCell ref="BP10:BQ10"/>
    <mergeCell ref="BR10:BS10"/>
    <mergeCell ref="BT10:BU10"/>
    <mergeCell ref="AX10:AY10"/>
    <mergeCell ref="AZ10:BA10"/>
    <mergeCell ref="BB10:BC10"/>
    <mergeCell ref="BD10:BE10"/>
    <mergeCell ref="BF10:BG10"/>
    <mergeCell ref="BH10:BI10"/>
    <mergeCell ref="CH10:CI10"/>
    <mergeCell ref="CJ10:CK10"/>
    <mergeCell ref="CL10:CM10"/>
    <mergeCell ref="CN10:CO10"/>
    <mergeCell ref="CP10:CQ10"/>
    <mergeCell ref="CR10:CS10"/>
    <mergeCell ref="BV10:BW10"/>
    <mergeCell ref="BX10:BY10"/>
    <mergeCell ref="BZ10:CA10"/>
    <mergeCell ref="CB10:CC10"/>
    <mergeCell ref="CD10:CE10"/>
    <mergeCell ref="CF10:CG10"/>
    <mergeCell ref="DF10:DG10"/>
    <mergeCell ref="DH10:DI10"/>
    <mergeCell ref="DJ10:DK10"/>
    <mergeCell ref="DL10:DM10"/>
    <mergeCell ref="DN10:DO10"/>
    <mergeCell ref="DP10:DQ10"/>
    <mergeCell ref="CT10:CU10"/>
    <mergeCell ref="CV10:CW10"/>
    <mergeCell ref="CX10:CY10"/>
    <mergeCell ref="CZ10:DA10"/>
    <mergeCell ref="DB10:DC10"/>
    <mergeCell ref="DD10:DE10"/>
    <mergeCell ref="ED10:EE10"/>
    <mergeCell ref="EF10:EG10"/>
    <mergeCell ref="EH10:EI10"/>
    <mergeCell ref="EJ10:EK10"/>
    <mergeCell ref="EL10:EM10"/>
    <mergeCell ref="EN10:EO10"/>
    <mergeCell ref="DR10:DS10"/>
    <mergeCell ref="DT10:DU10"/>
    <mergeCell ref="DV10:DW10"/>
    <mergeCell ref="DX10:DY10"/>
    <mergeCell ref="DZ10:EA10"/>
    <mergeCell ref="EB10:EC10"/>
    <mergeCell ref="FB10:FC10"/>
    <mergeCell ref="FD10:FE10"/>
    <mergeCell ref="FF10:FG10"/>
    <mergeCell ref="FH10:FI10"/>
    <mergeCell ref="FJ10:FK10"/>
    <mergeCell ref="FL10:FM10"/>
    <mergeCell ref="EP10:EQ10"/>
    <mergeCell ref="ER10:ES10"/>
    <mergeCell ref="ET10:EU10"/>
    <mergeCell ref="EV10:EW10"/>
    <mergeCell ref="EX10:EY10"/>
    <mergeCell ref="EZ10:FA10"/>
    <mergeCell ref="FZ10:GA10"/>
    <mergeCell ref="GB10:GC10"/>
    <mergeCell ref="GD10:GE10"/>
    <mergeCell ref="GF10:GG10"/>
    <mergeCell ref="GH10:GI10"/>
    <mergeCell ref="GJ10:GK10"/>
    <mergeCell ref="FN10:FO10"/>
    <mergeCell ref="FP10:FQ10"/>
    <mergeCell ref="FR10:FS10"/>
    <mergeCell ref="FT10:FU10"/>
    <mergeCell ref="FV10:FW10"/>
    <mergeCell ref="FX10:FY10"/>
    <mergeCell ref="GX10:GY10"/>
    <mergeCell ref="GZ10:HA10"/>
    <mergeCell ref="HB10:HC10"/>
    <mergeCell ref="HD10:HE10"/>
    <mergeCell ref="HF10:HG10"/>
    <mergeCell ref="HH10:HI10"/>
    <mergeCell ref="GL10:GM10"/>
    <mergeCell ref="GN10:GO10"/>
    <mergeCell ref="GP10:GQ10"/>
    <mergeCell ref="GR10:GS10"/>
    <mergeCell ref="GT10:GU10"/>
    <mergeCell ref="GV10:GW10"/>
    <mergeCell ref="HV10:HW10"/>
    <mergeCell ref="HX10:HY10"/>
    <mergeCell ref="HZ10:IA10"/>
    <mergeCell ref="IB10:IC10"/>
    <mergeCell ref="ID10:IE10"/>
    <mergeCell ref="IF10:IG10"/>
    <mergeCell ref="HJ10:HK10"/>
    <mergeCell ref="HL10:HM10"/>
    <mergeCell ref="HN10:HO10"/>
    <mergeCell ref="HP10:HQ10"/>
    <mergeCell ref="HR10:HS10"/>
    <mergeCell ref="HT10:HU10"/>
    <mergeCell ref="IT10:IU10"/>
    <mergeCell ref="IV10:IW10"/>
    <mergeCell ref="IX10:IY10"/>
    <mergeCell ref="IZ10:JA10"/>
    <mergeCell ref="JB10:JC10"/>
    <mergeCell ref="JD10:JE10"/>
    <mergeCell ref="IH10:II10"/>
    <mergeCell ref="IJ10:IK10"/>
    <mergeCell ref="IL10:IM10"/>
    <mergeCell ref="IN10:IO10"/>
    <mergeCell ref="IP10:IQ10"/>
    <mergeCell ref="IR10:IS10"/>
    <mergeCell ref="JR10:JS10"/>
    <mergeCell ref="JT10:JU10"/>
    <mergeCell ref="JV10:JW10"/>
    <mergeCell ref="JX10:JY10"/>
    <mergeCell ref="JZ10:KA10"/>
    <mergeCell ref="KB10:KC10"/>
    <mergeCell ref="JF10:JG10"/>
    <mergeCell ref="JH10:JI10"/>
    <mergeCell ref="JJ10:JK10"/>
    <mergeCell ref="JL10:JM10"/>
    <mergeCell ref="JN10:JO10"/>
    <mergeCell ref="JP10:JQ10"/>
    <mergeCell ref="KP10:KQ10"/>
    <mergeCell ref="KR10:KS10"/>
    <mergeCell ref="KT10:KU10"/>
    <mergeCell ref="KV10:KW10"/>
    <mergeCell ref="KX10:KY10"/>
    <mergeCell ref="KZ10:LA10"/>
    <mergeCell ref="KD10:KE10"/>
    <mergeCell ref="KF10:KG10"/>
    <mergeCell ref="KH10:KI10"/>
    <mergeCell ref="KJ10:KK10"/>
    <mergeCell ref="KL10:KM10"/>
    <mergeCell ref="KN10:KO10"/>
    <mergeCell ref="LN10:LO10"/>
    <mergeCell ref="LP10:LQ10"/>
    <mergeCell ref="LR10:LS10"/>
    <mergeCell ref="LT10:LU10"/>
    <mergeCell ref="LV10:LW10"/>
    <mergeCell ref="LX10:LY10"/>
    <mergeCell ref="LB10:LC10"/>
    <mergeCell ref="LD10:LE10"/>
    <mergeCell ref="LF10:LG10"/>
    <mergeCell ref="LH10:LI10"/>
    <mergeCell ref="LJ10:LK10"/>
    <mergeCell ref="LL10:LM10"/>
    <mergeCell ref="ML10:MM10"/>
    <mergeCell ref="MN10:MO10"/>
    <mergeCell ref="MP10:MQ10"/>
    <mergeCell ref="MR10:MS10"/>
    <mergeCell ref="MT10:MU10"/>
    <mergeCell ref="MV10:MW10"/>
    <mergeCell ref="LZ10:MA10"/>
    <mergeCell ref="MB10:MC10"/>
    <mergeCell ref="MD10:ME10"/>
    <mergeCell ref="MF10:MG10"/>
    <mergeCell ref="MH10:MI10"/>
    <mergeCell ref="MJ10:MK10"/>
    <mergeCell ref="NJ10:NK10"/>
    <mergeCell ref="NL10:NM10"/>
    <mergeCell ref="NN10:NO10"/>
    <mergeCell ref="NP10:NQ10"/>
    <mergeCell ref="NR10:NS10"/>
    <mergeCell ref="NT10:NU10"/>
    <mergeCell ref="MX10:MY10"/>
    <mergeCell ref="MZ10:NA10"/>
    <mergeCell ref="NB10:NC10"/>
    <mergeCell ref="ND10:NE10"/>
    <mergeCell ref="NF10:NG10"/>
    <mergeCell ref="NH10:NI10"/>
    <mergeCell ref="OH10:OI10"/>
    <mergeCell ref="OJ10:OK10"/>
    <mergeCell ref="OL10:OM10"/>
    <mergeCell ref="ON10:OO10"/>
    <mergeCell ref="OP10:OQ10"/>
    <mergeCell ref="NV10:NW10"/>
    <mergeCell ref="NX10:NY10"/>
    <mergeCell ref="NZ10:OA10"/>
    <mergeCell ref="OB10:OC10"/>
    <mergeCell ref="OD10:OE10"/>
    <mergeCell ref="OF10:OG1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271DA-F923-4983-9E1D-230678D0A36C}">
  <dimension ref="A1:T124"/>
  <sheetViews>
    <sheetView workbookViewId="0">
      <selection activeCell="P1" sqref="P1"/>
    </sheetView>
  </sheetViews>
  <sheetFormatPr defaultRowHeight="14.4" x14ac:dyDescent="0.3"/>
  <cols>
    <col min="3" max="3" width="13.6640625" customWidth="1"/>
    <col min="6" max="6" width="19.109375" customWidth="1"/>
    <col min="9" max="9" width="11.88671875" customWidth="1"/>
    <col min="16" max="16" width="11.88671875" customWidth="1"/>
    <col min="18" max="18" width="10.21875" bestFit="1" customWidth="1"/>
    <col min="19" max="19" width="11.21875" bestFit="1" customWidth="1"/>
  </cols>
  <sheetData>
    <row r="1" spans="1:20" x14ac:dyDescent="0.3">
      <c r="A1" s="19" t="s">
        <v>1</v>
      </c>
      <c r="B1" s="19" t="s">
        <v>0</v>
      </c>
      <c r="C1" s="19" t="s">
        <v>3</v>
      </c>
      <c r="E1" s="20" t="s">
        <v>2</v>
      </c>
      <c r="F1" s="19" t="s">
        <v>4</v>
      </c>
      <c r="I1" s="19" t="s">
        <v>5</v>
      </c>
      <c r="P1" s="19" t="s">
        <v>6</v>
      </c>
      <c r="S1" s="3"/>
    </row>
    <row r="2" spans="1:20" x14ac:dyDescent="0.3">
      <c r="A2">
        <v>1995.1</v>
      </c>
      <c r="B2" s="1">
        <v>30668.5</v>
      </c>
      <c r="C2" s="4"/>
      <c r="E2" s="3"/>
      <c r="I2" s="3"/>
      <c r="L2" s="3"/>
      <c r="M2" s="3"/>
      <c r="N2" s="3"/>
      <c r="O2" s="3"/>
      <c r="P2" s="3"/>
      <c r="S2" s="3"/>
    </row>
    <row r="3" spans="1:20" x14ac:dyDescent="0.3">
      <c r="A3">
        <v>1995.1999999999998</v>
      </c>
      <c r="B3" s="1">
        <v>31323.8</v>
      </c>
      <c r="C3" s="4">
        <f>B3/B2</f>
        <v>1.0213672008738608</v>
      </c>
      <c r="E3" s="3"/>
      <c r="I3" s="3">
        <f t="shared" ref="I3:I66" si="0">I4/C4</f>
        <v>31575.024264421201</v>
      </c>
      <c r="L3" s="3"/>
      <c r="M3" s="3"/>
      <c r="N3" s="3"/>
      <c r="O3" s="3"/>
      <c r="P3" s="3">
        <f t="shared" ref="P3:P34" si="1">P4/C4</f>
        <v>36895.929188474496</v>
      </c>
      <c r="S3" s="3"/>
    </row>
    <row r="4" spans="1:20" x14ac:dyDescent="0.3">
      <c r="A4">
        <v>1995.2999999999997</v>
      </c>
      <c r="B4" s="1">
        <v>34074.9</v>
      </c>
      <c r="C4" s="4">
        <f t="shared" ref="C4:C67" si="2">B4/B3</f>
        <v>1.0878277859008167</v>
      </c>
      <c r="E4" s="3"/>
      <c r="I4" s="3">
        <f t="shared" si="0"/>
        <v>34348.188735329881</v>
      </c>
      <c r="L4" s="3"/>
      <c r="M4" s="3"/>
      <c r="N4" s="3"/>
      <c r="O4" s="3"/>
      <c r="P4" s="3">
        <f t="shared" si="1"/>
        <v>40136.416957851528</v>
      </c>
      <c r="S4" s="3"/>
    </row>
    <row r="5" spans="1:20" x14ac:dyDescent="0.3">
      <c r="A5">
        <v>1995.3999999999996</v>
      </c>
      <c r="B5" s="1">
        <v>35140.6</v>
      </c>
      <c r="C5" s="4">
        <f t="shared" si="2"/>
        <v>1.0312752201767283</v>
      </c>
      <c r="E5" s="3">
        <f>SUM(B2:B5)</f>
        <v>131207.80000000002</v>
      </c>
      <c r="F5" s="4"/>
      <c r="I5" s="3">
        <f t="shared" si="0"/>
        <v>35422.435900699144</v>
      </c>
      <c r="L5" s="3"/>
      <c r="M5" s="3"/>
      <c r="N5" s="3"/>
      <c r="O5" s="3"/>
      <c r="P5" s="3">
        <f t="shared" si="1"/>
        <v>41391.692235313305</v>
      </c>
      <c r="S5" s="3"/>
    </row>
    <row r="6" spans="1:20" x14ac:dyDescent="0.3">
      <c r="A6">
        <v>1996.1</v>
      </c>
      <c r="B6" s="1">
        <v>31186.6</v>
      </c>
      <c r="C6" s="4">
        <f t="shared" si="2"/>
        <v>0.88748057802086477</v>
      </c>
      <c r="E6" s="3"/>
      <c r="F6" s="4"/>
      <c r="I6" s="3">
        <f t="shared" si="0"/>
        <v>31436.723888059511</v>
      </c>
      <c r="L6" s="3"/>
      <c r="M6" s="3"/>
      <c r="N6" s="3"/>
      <c r="O6" s="3"/>
      <c r="P6" s="3">
        <f t="shared" si="1"/>
        <v>36734.322950257592</v>
      </c>
      <c r="S6" s="3"/>
    </row>
    <row r="7" spans="1:20" x14ac:dyDescent="0.3">
      <c r="A7">
        <v>1996.1999999999998</v>
      </c>
      <c r="B7" s="1">
        <v>31478.2</v>
      </c>
      <c r="C7" s="4">
        <f t="shared" si="2"/>
        <v>1.0093501696241336</v>
      </c>
      <c r="E7" s="3"/>
      <c r="F7" s="4"/>
      <c r="I7" s="3">
        <f t="shared" si="0"/>
        <v>31730.662588839921</v>
      </c>
      <c r="L7" s="3"/>
      <c r="M7" s="3"/>
      <c r="N7" s="3"/>
      <c r="O7" s="3"/>
      <c r="P7" s="3">
        <f t="shared" si="1"/>
        <v>37077.795100870208</v>
      </c>
      <c r="S7" s="3"/>
    </row>
    <row r="8" spans="1:20" x14ac:dyDescent="0.3">
      <c r="A8">
        <v>1996.2999999999997</v>
      </c>
      <c r="B8" s="2">
        <v>34390</v>
      </c>
      <c r="C8" s="4">
        <f t="shared" si="2"/>
        <v>1.0925021125731458</v>
      </c>
      <c r="E8" s="3"/>
      <c r="F8" s="4"/>
      <c r="I8" s="3">
        <f t="shared" si="0"/>
        <v>34665.815911653299</v>
      </c>
      <c r="L8" s="3"/>
      <c r="M8" s="3"/>
      <c r="N8" s="3"/>
      <c r="O8" s="3"/>
      <c r="P8" s="3">
        <f t="shared" si="1"/>
        <v>40507.56947725494</v>
      </c>
      <c r="S8" s="3"/>
    </row>
    <row r="9" spans="1:20" x14ac:dyDescent="0.3">
      <c r="A9">
        <v>1996.3999999999996</v>
      </c>
      <c r="B9" s="1">
        <v>35249.599999999999</v>
      </c>
      <c r="C9" s="4">
        <f t="shared" si="2"/>
        <v>1.0249956382669381</v>
      </c>
      <c r="E9" s="3">
        <f t="shared" ref="E9" si="3">SUM(B6:B9)</f>
        <v>132304.4</v>
      </c>
      <c r="F9" s="4">
        <f>E9/E5</f>
        <v>1.008357734829789</v>
      </c>
      <c r="I9" s="3">
        <f t="shared" si="0"/>
        <v>35532.310106409248</v>
      </c>
      <c r="K9" s="3">
        <f>SUM(I6:I9)</f>
        <v>133365.51249496196</v>
      </c>
      <c r="L9" s="3">
        <f>L13/F13</f>
        <v>133365.51249496095</v>
      </c>
      <c r="M9" s="3">
        <f>K9-L9</f>
        <v>1.0186340659856796E-9</v>
      </c>
      <c r="N9" s="3"/>
      <c r="O9" s="3"/>
      <c r="P9" s="3">
        <f t="shared" si="1"/>
        <v>41520.082030981263</v>
      </c>
      <c r="R9" s="3">
        <f>SUM(P6:P9)</f>
        <v>155839.76955936398</v>
      </c>
      <c r="S9" s="3">
        <f>S13/F13</f>
        <v>155839.76955936392</v>
      </c>
      <c r="T9" s="3">
        <f>R9-S9</f>
        <v>0</v>
      </c>
    </row>
    <row r="10" spans="1:20" x14ac:dyDescent="0.3">
      <c r="A10">
        <v>1997.1</v>
      </c>
      <c r="B10" s="1">
        <v>31740.1</v>
      </c>
      <c r="C10" s="4">
        <f t="shared" si="2"/>
        <v>0.90043858653715214</v>
      </c>
      <c r="E10" s="3"/>
      <c r="F10" s="4"/>
      <c r="I10" s="3">
        <f t="shared" si="0"/>
        <v>31994.663088614911</v>
      </c>
      <c r="L10" s="3"/>
      <c r="M10" s="3"/>
      <c r="N10" s="3"/>
      <c r="O10" s="3"/>
      <c r="P10" s="3">
        <f t="shared" si="1"/>
        <v>37386.28397688338</v>
      </c>
      <c r="S10" s="3"/>
    </row>
    <row r="11" spans="1:20" x14ac:dyDescent="0.3">
      <c r="A11">
        <v>1997.1999999999998</v>
      </c>
      <c r="B11" s="1">
        <v>32587.5</v>
      </c>
      <c r="C11" s="4">
        <f t="shared" si="2"/>
        <v>1.0266980885378434</v>
      </c>
      <c r="E11" s="3"/>
      <c r="F11" s="4"/>
      <c r="I11" s="3">
        <f t="shared" si="0"/>
        <v>32848.859436493221</v>
      </c>
      <c r="L11" s="3"/>
      <c r="M11" s="3"/>
      <c r="N11" s="3"/>
      <c r="O11" s="3"/>
      <c r="P11" s="3">
        <f t="shared" si="1"/>
        <v>38384.426296599166</v>
      </c>
      <c r="S11" s="3"/>
    </row>
    <row r="12" spans="1:20" x14ac:dyDescent="0.3">
      <c r="A12">
        <v>1997.2999999999997</v>
      </c>
      <c r="B12" s="1">
        <v>35723.199999999997</v>
      </c>
      <c r="C12" s="4">
        <f t="shared" si="2"/>
        <v>1.0962240122746452</v>
      </c>
      <c r="E12" s="3"/>
      <c r="F12" s="4"/>
      <c r="I12" s="3">
        <f t="shared" si="0"/>
        <v>36009.708490118435</v>
      </c>
      <c r="L12" s="3"/>
      <c r="M12" s="3"/>
      <c r="N12" s="3"/>
      <c r="O12" s="3"/>
      <c r="P12" s="3">
        <f t="shared" si="1"/>
        <v>42077.929803718333</v>
      </c>
      <c r="S12" s="3"/>
    </row>
    <row r="13" spans="1:20" x14ac:dyDescent="0.3">
      <c r="A13">
        <v>1997.3999999999996</v>
      </c>
      <c r="B13" s="1">
        <v>36625.199999999997</v>
      </c>
      <c r="C13" s="4">
        <f t="shared" si="2"/>
        <v>1.0252496976754601</v>
      </c>
      <c r="E13" s="3">
        <f t="shared" ref="E13" si="4">SUM(B10:B13)</f>
        <v>136676</v>
      </c>
      <c r="F13" s="4">
        <f t="shared" ref="F13" si="5">E13/E9</f>
        <v>1.0330419849982313</v>
      </c>
      <c r="I13" s="3">
        <f t="shared" si="0"/>
        <v>36918.942742875377</v>
      </c>
      <c r="K13" s="3">
        <f>SUM(I10:I13)</f>
        <v>137772.17375810194</v>
      </c>
      <c r="L13" s="3">
        <f>L17/F17</f>
        <v>137772.17375810086</v>
      </c>
      <c r="M13" s="3">
        <f>K13-L13</f>
        <v>1.076841726899147E-9</v>
      </c>
      <c r="N13" s="3"/>
      <c r="O13" s="3"/>
      <c r="P13" s="3">
        <f t="shared" si="1"/>
        <v>43140.384810071453</v>
      </c>
      <c r="R13" s="3">
        <f>SUM(P10:P13)</f>
        <v>160989.02488727233</v>
      </c>
      <c r="S13" s="3">
        <f>S17/F17</f>
        <v>160989.02488727224</v>
      </c>
      <c r="T13" s="3">
        <f>R13-S13</f>
        <v>0</v>
      </c>
    </row>
    <row r="14" spans="1:20" x14ac:dyDescent="0.3">
      <c r="A14">
        <v>1998.1</v>
      </c>
      <c r="B14" s="1">
        <v>33791.300000000003</v>
      </c>
      <c r="C14" s="4">
        <f t="shared" si="2"/>
        <v>0.92262431331433015</v>
      </c>
      <c r="E14" s="3"/>
      <c r="F14" s="4"/>
      <c r="I14" s="3">
        <f t="shared" si="0"/>
        <v>34062.31419643647</v>
      </c>
      <c r="L14" s="3"/>
      <c r="M14" s="3"/>
      <c r="N14" s="3"/>
      <c r="O14" s="3"/>
      <c r="P14" s="3">
        <f t="shared" si="1"/>
        <v>39802.367911508132</v>
      </c>
      <c r="S14" s="3"/>
    </row>
    <row r="15" spans="1:20" x14ac:dyDescent="0.3">
      <c r="A15">
        <v>1998.1999999999998</v>
      </c>
      <c r="B15" s="1">
        <v>34203.199999999997</v>
      </c>
      <c r="C15" s="4">
        <f t="shared" si="2"/>
        <v>1.012189528073794</v>
      </c>
      <c r="E15" s="3"/>
      <c r="F15" s="4"/>
      <c r="I15" s="3">
        <f t="shared" si="0"/>
        <v>34477.517731592328</v>
      </c>
      <c r="L15" s="3"/>
      <c r="M15" s="3"/>
      <c r="N15" s="3"/>
      <c r="O15" s="3"/>
      <c r="P15" s="3">
        <f t="shared" si="1"/>
        <v>40287.539992568942</v>
      </c>
      <c r="S15" s="3"/>
    </row>
    <row r="16" spans="1:20" x14ac:dyDescent="0.3">
      <c r="A16">
        <v>1998.2999999999997</v>
      </c>
      <c r="B16" s="1">
        <v>36864.199999999997</v>
      </c>
      <c r="C16" s="4">
        <f t="shared" si="2"/>
        <v>1.0777997380362072</v>
      </c>
      <c r="E16" s="3"/>
      <c r="F16" s="4"/>
      <c r="I16" s="3">
        <f t="shared" si="0"/>
        <v>37159.8595792489</v>
      </c>
      <c r="L16" s="3"/>
      <c r="M16" s="3"/>
      <c r="N16" s="3"/>
      <c r="O16" s="3"/>
      <c r="P16" s="3">
        <f t="shared" si="1"/>
        <v>43421.900050114025</v>
      </c>
      <c r="S16" s="3"/>
    </row>
    <row r="17" spans="1:20" x14ac:dyDescent="0.3">
      <c r="A17">
        <v>1998.3999999999996</v>
      </c>
      <c r="B17" s="1">
        <v>37607.599999999999</v>
      </c>
      <c r="C17" s="4">
        <f t="shared" si="2"/>
        <v>1.0201659062179567</v>
      </c>
      <c r="E17" s="3">
        <f t="shared" ref="E17" si="6">SUM(B14:B17)</f>
        <v>142466.29999999999</v>
      </c>
      <c r="F17" s="4">
        <f t="shared" ref="F17" si="7">E17/E13</f>
        <v>1.0423651555503526</v>
      </c>
      <c r="I17" s="3">
        <f t="shared" si="0"/>
        <v>37909.221822596468</v>
      </c>
      <c r="K17" s="3">
        <f>SUM(I14:I17)</f>
        <v>143608.91332987417</v>
      </c>
      <c r="L17" s="3">
        <f>L21/F21</f>
        <v>143608.913329873</v>
      </c>
      <c r="M17" s="3">
        <f>K17-L17</f>
        <v>1.1641532182693481E-9</v>
      </c>
      <c r="N17" s="3"/>
      <c r="O17" s="3"/>
      <c r="P17" s="3">
        <f t="shared" si="1"/>
        <v>44297.542014330116</v>
      </c>
      <c r="R17" s="3">
        <f>SUM(P14:P17)</f>
        <v>167809.34996852122</v>
      </c>
      <c r="S17" s="3">
        <f>S21/F21</f>
        <v>167809.34996852113</v>
      </c>
      <c r="T17" s="3">
        <f>R17-S17</f>
        <v>0</v>
      </c>
    </row>
    <row r="18" spans="1:20" x14ac:dyDescent="0.3">
      <c r="A18">
        <v>1999.1</v>
      </c>
      <c r="B18" s="2">
        <v>34057</v>
      </c>
      <c r="C18" s="4">
        <f t="shared" si="2"/>
        <v>0.90558823216583884</v>
      </c>
      <c r="E18" s="3"/>
      <c r="F18" s="4"/>
      <c r="I18" s="3">
        <f t="shared" si="0"/>
        <v>34330.145173107776</v>
      </c>
      <c r="L18" s="3"/>
      <c r="M18" s="3"/>
      <c r="N18" s="3"/>
      <c r="O18" s="3"/>
      <c r="P18" s="3">
        <f t="shared" si="1"/>
        <v>40115.332762049184</v>
      </c>
      <c r="S18" s="3"/>
    </row>
    <row r="19" spans="1:20" x14ac:dyDescent="0.3">
      <c r="A19">
        <v>1999.1999999999998</v>
      </c>
      <c r="B19" s="1">
        <v>34594.9</v>
      </c>
      <c r="C19" s="4">
        <f t="shared" si="2"/>
        <v>1.0157941098746219</v>
      </c>
      <c r="E19" s="3"/>
      <c r="F19" s="4"/>
      <c r="I19" s="3">
        <f t="shared" si="0"/>
        <v>34872.35925798356</v>
      </c>
      <c r="L19" s="3"/>
      <c r="M19" s="3"/>
      <c r="N19" s="3"/>
      <c r="O19" s="3"/>
      <c r="P19" s="3">
        <f t="shared" si="1"/>
        <v>40748.918735350009</v>
      </c>
      <c r="S19" s="3"/>
    </row>
    <row r="20" spans="1:20" x14ac:dyDescent="0.3">
      <c r="A20">
        <v>1999.2999999999997</v>
      </c>
      <c r="B20" s="1">
        <v>37315.199999999997</v>
      </c>
      <c r="C20" s="4">
        <f t="shared" si="2"/>
        <v>1.0786329776932437</v>
      </c>
      <c r="E20" s="3"/>
      <c r="F20" s="4"/>
      <c r="I20" s="3">
        <f t="shared" si="0"/>
        <v>37614.476705627363</v>
      </c>
      <c r="L20" s="3"/>
      <c r="M20" s="3"/>
      <c r="N20" s="3"/>
      <c r="O20" s="3"/>
      <c r="P20" s="3">
        <f t="shared" si="1"/>
        <v>43953.127553290586</v>
      </c>
      <c r="S20" s="3"/>
    </row>
    <row r="21" spans="1:20" x14ac:dyDescent="0.3">
      <c r="A21">
        <v>1999.3999999999996</v>
      </c>
      <c r="B21" s="1">
        <v>38542.400000000001</v>
      </c>
      <c r="C21" s="4">
        <f t="shared" si="2"/>
        <v>1.03288740245262</v>
      </c>
      <c r="E21" s="3">
        <f t="shared" ref="E21" si="8">SUM(B18:B21)</f>
        <v>144509.5</v>
      </c>
      <c r="F21" s="4">
        <f t="shared" ref="F21" si="9">E21/E17</f>
        <v>1.0143416372854492</v>
      </c>
      <c r="I21" s="3">
        <f t="shared" si="0"/>
        <v>38851.519139090029</v>
      </c>
      <c r="K21" s="3">
        <f>SUM(I18:I21)</f>
        <v>145668.50027580874</v>
      </c>
      <c r="L21" s="3">
        <f>L25/F25</f>
        <v>145668.50027580754</v>
      </c>
      <c r="M21" s="3">
        <f>K21-L21</f>
        <v>1.1932570487260818E-9</v>
      </c>
      <c r="N21" s="3"/>
      <c r="O21" s="3"/>
      <c r="P21" s="3">
        <f t="shared" si="1"/>
        <v>45398.631748186992</v>
      </c>
      <c r="R21" s="3">
        <f>SUM(P18:P21)</f>
        <v>170216.01079887676</v>
      </c>
      <c r="S21" s="3">
        <f>S25/F25</f>
        <v>170216.01079887667</v>
      </c>
      <c r="T21" s="3">
        <f>R21-S21</f>
        <v>0</v>
      </c>
    </row>
    <row r="22" spans="1:20" x14ac:dyDescent="0.3">
      <c r="A22">
        <v>2000.1</v>
      </c>
      <c r="B22" s="1">
        <v>35292.6</v>
      </c>
      <c r="C22" s="4">
        <f t="shared" si="2"/>
        <v>0.91568246917680263</v>
      </c>
      <c r="E22" s="3"/>
      <c r="F22" s="4"/>
      <c r="I22" s="3">
        <f t="shared" si="0"/>
        <v>35575.654976551763</v>
      </c>
      <c r="L22" s="3"/>
      <c r="M22" s="3"/>
      <c r="N22" s="3"/>
      <c r="O22" s="3"/>
      <c r="P22" s="3">
        <f t="shared" si="1"/>
        <v>41570.731216428248</v>
      </c>
      <c r="S22" s="3"/>
    </row>
    <row r="23" spans="1:20" x14ac:dyDescent="0.3">
      <c r="A23">
        <v>2000.1999999999998</v>
      </c>
      <c r="B23" s="1">
        <v>36022.800000000003</v>
      </c>
      <c r="C23" s="4">
        <f t="shared" si="2"/>
        <v>1.0206898896652556</v>
      </c>
      <c r="E23" s="3"/>
      <c r="F23" s="4"/>
      <c r="I23" s="3">
        <f t="shared" si="0"/>
        <v>36311.711352785824</v>
      </c>
      <c r="L23" s="3"/>
      <c r="M23" s="3"/>
      <c r="N23" s="3"/>
      <c r="O23" s="3"/>
      <c r="P23" s="3">
        <f t="shared" si="1"/>
        <v>42430.825058600145</v>
      </c>
      <c r="S23" s="3"/>
    </row>
    <row r="24" spans="1:20" x14ac:dyDescent="0.3">
      <c r="A24">
        <v>2000.2999999999997</v>
      </c>
      <c r="B24" s="1">
        <v>38977.699999999997</v>
      </c>
      <c r="C24" s="4">
        <f t="shared" si="2"/>
        <v>1.0820286041062881</v>
      </c>
      <c r="E24" s="3"/>
      <c r="F24" s="4"/>
      <c r="I24" s="3">
        <f t="shared" si="0"/>
        <v>39290.310347765299</v>
      </c>
      <c r="L24" s="3"/>
      <c r="M24" s="3"/>
      <c r="N24" s="3"/>
      <c r="O24" s="3"/>
      <c r="P24" s="3">
        <f t="shared" si="1"/>
        <v>45911.366409235226</v>
      </c>
      <c r="S24" s="3"/>
    </row>
    <row r="25" spans="1:20" x14ac:dyDescent="0.3">
      <c r="A25">
        <v>2000.3999999999996</v>
      </c>
      <c r="B25" s="1">
        <v>39966.300000000003</v>
      </c>
      <c r="C25" s="4">
        <f t="shared" si="2"/>
        <v>1.0253632205081369</v>
      </c>
      <c r="E25" s="3">
        <f t="shared" ref="E25" si="10">SUM(B22:B25)</f>
        <v>150259.4</v>
      </c>
      <c r="F25" s="4">
        <f t="shared" ref="F25" si="11">E25/E21</f>
        <v>1.039789079610683</v>
      </c>
      <c r="I25" s="3">
        <f t="shared" si="0"/>
        <v>40286.8391529488</v>
      </c>
      <c r="K25" s="3">
        <f>SUM(I22:I25)</f>
        <v>151464.51583005168</v>
      </c>
      <c r="L25" s="3">
        <f>L29/F29</f>
        <v>151464.51583005046</v>
      </c>
      <c r="M25" s="3">
        <f>K25-L25</f>
        <v>1.2223608791828156E-9</v>
      </c>
      <c r="N25" s="3"/>
      <c r="O25" s="3"/>
      <c r="P25" s="3">
        <f t="shared" si="1"/>
        <v>47075.826519302529</v>
      </c>
      <c r="R25" s="3">
        <f>SUM(P22:P25)</f>
        <v>176988.74920356614</v>
      </c>
      <c r="S25" s="3">
        <f>S29/F29</f>
        <v>176988.74920356605</v>
      </c>
      <c r="T25" s="3">
        <f>R25-S25</f>
        <v>0</v>
      </c>
    </row>
    <row r="26" spans="1:20" x14ac:dyDescent="0.3">
      <c r="A26">
        <v>2001.1</v>
      </c>
      <c r="B26" s="2">
        <v>37338</v>
      </c>
      <c r="C26" s="4">
        <f t="shared" si="2"/>
        <v>0.93423709475232874</v>
      </c>
      <c r="E26" s="3"/>
      <c r="F26" s="4"/>
      <c r="I26" s="3">
        <f t="shared" si="0"/>
        <v>37637.459567005259</v>
      </c>
      <c r="L26" s="3"/>
      <c r="M26" s="3"/>
      <c r="N26" s="3"/>
      <c r="O26" s="3"/>
      <c r="P26" s="3">
        <f t="shared" si="1"/>
        <v>43979.98340045783</v>
      </c>
      <c r="S26" s="3"/>
    </row>
    <row r="27" spans="1:20" x14ac:dyDescent="0.3">
      <c r="A27">
        <v>2001.1999999999998</v>
      </c>
      <c r="B27" s="1">
        <v>37471.599999999999</v>
      </c>
      <c r="C27" s="4">
        <f t="shared" si="2"/>
        <v>1.003578124163051</v>
      </c>
      <c r="E27" s="3"/>
      <c r="F27" s="4"/>
      <c r="I27" s="3">
        <f t="shared" si="0"/>
        <v>37772.131070517818</v>
      </c>
      <c r="L27" s="3"/>
      <c r="M27" s="3"/>
      <c r="N27" s="3"/>
      <c r="O27" s="3"/>
      <c r="P27" s="3">
        <f t="shared" si="1"/>
        <v>44137.349241753589</v>
      </c>
      <c r="S27" s="3"/>
    </row>
    <row r="28" spans="1:20" x14ac:dyDescent="0.3">
      <c r="A28">
        <v>2001.2999999999997</v>
      </c>
      <c r="B28" s="1">
        <v>40399.800000000003</v>
      </c>
      <c r="C28" s="4">
        <f t="shared" si="2"/>
        <v>1.0781445147791928</v>
      </c>
      <c r="E28" s="3"/>
      <c r="F28" s="4"/>
      <c r="I28" s="3">
        <f t="shared" si="0"/>
        <v>40723.815925199509</v>
      </c>
      <c r="L28" s="3"/>
      <c r="M28" s="3"/>
      <c r="N28" s="3"/>
      <c r="O28" s="3"/>
      <c r="P28" s="3">
        <f t="shared" si="1"/>
        <v>47586.440981890199</v>
      </c>
      <c r="S28" s="3"/>
    </row>
    <row r="29" spans="1:20" x14ac:dyDescent="0.3">
      <c r="A29">
        <v>2001.3999999999996</v>
      </c>
      <c r="B29" s="1">
        <v>40972.699999999997</v>
      </c>
      <c r="C29" s="4">
        <f t="shared" si="2"/>
        <v>1.0141807632711051</v>
      </c>
      <c r="E29" s="3">
        <f t="shared" ref="E29" si="12">SUM(B26:B29)</f>
        <v>156182.1</v>
      </c>
      <c r="F29" s="4">
        <f t="shared" ref="F29" si="13">E29/E25</f>
        <v>1.0394165023951913</v>
      </c>
      <c r="I29" s="3">
        <f t="shared" si="0"/>
        <v>41301.310718330824</v>
      </c>
      <c r="K29" s="3">
        <f>SUM(I26:I29)</f>
        <v>157434.7172810534</v>
      </c>
      <c r="L29" s="3">
        <f>L33/F33</f>
        <v>157434.71728105214</v>
      </c>
      <c r="M29" s="3">
        <f>K29-L29</f>
        <v>1.2514647096395493E-9</v>
      </c>
      <c r="N29" s="3"/>
      <c r="O29" s="3"/>
      <c r="P29" s="3">
        <f t="shared" si="1"/>
        <v>48261.253036368798</v>
      </c>
      <c r="R29" s="3">
        <f>SUM(P26:P29)</f>
        <v>183965.02666047041</v>
      </c>
      <c r="S29" s="3">
        <f>S33/F33</f>
        <v>183965.02666047032</v>
      </c>
      <c r="T29" s="3">
        <f>R29-S29</f>
        <v>0</v>
      </c>
    </row>
    <row r="30" spans="1:20" x14ac:dyDescent="0.3">
      <c r="A30">
        <v>2002.1</v>
      </c>
      <c r="B30" s="1">
        <v>38452.5</v>
      </c>
      <c r="C30" s="4">
        <f t="shared" si="2"/>
        <v>0.9384907511586984</v>
      </c>
      <c r="E30" s="3"/>
      <c r="F30" s="4"/>
      <c r="I30" s="3">
        <f t="shared" si="0"/>
        <v>38760.898119885096</v>
      </c>
      <c r="L30" s="3"/>
      <c r="M30" s="3"/>
      <c r="N30" s="3"/>
      <c r="O30" s="3"/>
      <c r="P30" s="3">
        <f t="shared" si="1"/>
        <v>45292.73961396177</v>
      </c>
      <c r="S30" s="3"/>
    </row>
    <row r="31" spans="1:20" x14ac:dyDescent="0.3">
      <c r="A31">
        <v>2002.1999999999998</v>
      </c>
      <c r="B31" s="1">
        <v>40005.5</v>
      </c>
      <c r="C31" s="4">
        <f t="shared" si="2"/>
        <v>1.0403874910603992</v>
      </c>
      <c r="E31" s="3"/>
      <c r="F31" s="4"/>
      <c r="I31" s="3">
        <f t="shared" si="0"/>
        <v>40326.353546195001</v>
      </c>
      <c r="L31" s="3"/>
      <c r="M31" s="3"/>
      <c r="N31" s="3"/>
      <c r="O31" s="3"/>
      <c r="P31" s="3">
        <f t="shared" si="1"/>
        <v>47121.999730221636</v>
      </c>
      <c r="S31" s="3"/>
    </row>
    <row r="32" spans="1:20" x14ac:dyDescent="0.3">
      <c r="A32">
        <v>2002.2999999999997</v>
      </c>
      <c r="B32" s="2">
        <v>42360</v>
      </c>
      <c r="C32" s="4">
        <f t="shared" si="2"/>
        <v>1.0588544075189661</v>
      </c>
      <c r="E32" s="3"/>
      <c r="F32" s="4"/>
      <c r="I32" s="3">
        <f t="shared" si="0"/>
        <v>42699.737191556662</v>
      </c>
      <c r="L32" s="3"/>
      <c r="M32" s="3"/>
      <c r="N32" s="3"/>
      <c r="O32" s="3"/>
      <c r="P32" s="3">
        <f t="shared" si="1"/>
        <v>49895.337105452709</v>
      </c>
      <c r="S32" s="3"/>
    </row>
    <row r="33" spans="1:20" x14ac:dyDescent="0.3">
      <c r="A33">
        <v>2002.3999999999996</v>
      </c>
      <c r="B33" s="1">
        <v>42723.1</v>
      </c>
      <c r="C33" s="4">
        <f t="shared" si="2"/>
        <v>1.0085717658168083</v>
      </c>
      <c r="E33" s="3">
        <f t="shared" ref="E33" si="14">SUM(B30:B33)</f>
        <v>163541.1</v>
      </c>
      <c r="F33" s="4">
        <f t="shared" ref="F33" si="15">E33/E29</f>
        <v>1.0471180756309462</v>
      </c>
      <c r="I33" s="3">
        <f t="shared" si="0"/>
        <v>43065.749339201946</v>
      </c>
      <c r="K33" s="3">
        <f>SUM(I30:I33)</f>
        <v>164852.73819683871</v>
      </c>
      <c r="L33" s="3">
        <f>L37/F37</f>
        <v>164852.7381968374</v>
      </c>
      <c r="M33" s="3">
        <f>K33-L33</f>
        <v>1.3096723705530167E-9</v>
      </c>
      <c r="N33" s="3"/>
      <c r="O33" s="3"/>
      <c r="P33" s="3">
        <f t="shared" si="1"/>
        <v>50323.028250471354</v>
      </c>
      <c r="R33" s="3">
        <f>SUM(P30:P33)</f>
        <v>192633.10470010748</v>
      </c>
      <c r="S33" s="3">
        <f>S37/F37</f>
        <v>192633.10470010739</v>
      </c>
      <c r="T33" s="3">
        <f>R33-S33</f>
        <v>0</v>
      </c>
    </row>
    <row r="34" spans="1:20" x14ac:dyDescent="0.3">
      <c r="A34">
        <v>2003.1</v>
      </c>
      <c r="B34" s="1">
        <v>40886.5</v>
      </c>
      <c r="C34" s="4">
        <f t="shared" si="2"/>
        <v>0.95701154644677</v>
      </c>
      <c r="E34" s="3"/>
      <c r="F34" s="4"/>
      <c r="I34" s="3">
        <f t="shared" si="0"/>
        <v>41214.419373998615</v>
      </c>
      <c r="L34" s="3"/>
      <c r="M34" s="3"/>
      <c r="N34" s="3"/>
      <c r="O34" s="3"/>
      <c r="P34" s="3">
        <f t="shared" si="1"/>
        <v>48159.719087868085</v>
      </c>
      <c r="S34" s="3"/>
    </row>
    <row r="35" spans="1:20" x14ac:dyDescent="0.3">
      <c r="A35">
        <v>2003.1999999999998</v>
      </c>
      <c r="B35" s="2">
        <v>42495</v>
      </c>
      <c r="C35" s="4">
        <f t="shared" si="2"/>
        <v>1.0393406136499823</v>
      </c>
      <c r="E35" s="3"/>
      <c r="F35" s="4"/>
      <c r="I35" s="3">
        <f t="shared" si="0"/>
        <v>42835.819923399438</v>
      </c>
      <c r="L35" s="3"/>
      <c r="M35" s="3"/>
      <c r="N35" s="3"/>
      <c r="O35" s="3"/>
      <c r="P35" s="3">
        <f t="shared" ref="P35:P66" si="16">P36/C36</f>
        <v>50054.351989995579</v>
      </c>
      <c r="S35" s="3"/>
    </row>
    <row r="36" spans="1:20" x14ac:dyDescent="0.3">
      <c r="A36">
        <v>2003.2999999999997</v>
      </c>
      <c r="B36" s="1">
        <v>44691.1</v>
      </c>
      <c r="C36" s="4">
        <f t="shared" si="2"/>
        <v>1.0516790210613014</v>
      </c>
      <c r="E36" s="3"/>
      <c r="F36" s="4"/>
      <c r="I36" s="3">
        <f t="shared" si="0"/>
        <v>45049.533163398912</v>
      </c>
      <c r="L36" s="3"/>
      <c r="M36" s="3"/>
      <c r="N36" s="3"/>
      <c r="O36" s="3"/>
      <c r="P36" s="3">
        <f t="shared" si="16"/>
        <v>52641.111900696356</v>
      </c>
      <c r="S36" s="3"/>
    </row>
    <row r="37" spans="1:20" x14ac:dyDescent="0.3">
      <c r="A37">
        <v>2003.3999999999996</v>
      </c>
      <c r="B37" s="1">
        <v>45534.8</v>
      </c>
      <c r="C37" s="4">
        <f t="shared" si="2"/>
        <v>1.0188784791602803</v>
      </c>
      <c r="E37" s="3">
        <f t="shared" ref="E37" si="17">SUM(B34:B37)</f>
        <v>173607.40000000002</v>
      </c>
      <c r="F37" s="4">
        <f t="shared" ref="F37" si="18">E37/E33</f>
        <v>1.0615521113652777</v>
      </c>
      <c r="I37" s="3">
        <f t="shared" si="0"/>
        <v>45899.999836404495</v>
      </c>
      <c r="K37" s="3">
        <f>SUM(I34:I37)</f>
        <v>174999.77229720145</v>
      </c>
      <c r="L37" s="3">
        <f>L41/F41</f>
        <v>174999.77229720011</v>
      </c>
      <c r="M37" s="3">
        <f>K37-L37</f>
        <v>1.3387762010097504E-9</v>
      </c>
      <c r="N37" s="3"/>
      <c r="O37" s="3"/>
      <c r="P37" s="3">
        <f t="shared" si="16"/>
        <v>53634.896034687634</v>
      </c>
      <c r="R37" s="3">
        <f>SUM(P34:P37)</f>
        <v>204490.07901324765</v>
      </c>
      <c r="S37" s="3">
        <f>S41/F41</f>
        <v>204490.0790132476</v>
      </c>
      <c r="T37" s="3">
        <f>R37-S37</f>
        <v>0</v>
      </c>
    </row>
    <row r="38" spans="1:20" x14ac:dyDescent="0.3">
      <c r="A38">
        <v>2004.1</v>
      </c>
      <c r="B38" s="1">
        <v>44045.3</v>
      </c>
      <c r="C38" s="4">
        <f t="shared" si="2"/>
        <v>0.96728875497421751</v>
      </c>
      <c r="E38" s="3"/>
      <c r="F38" s="4"/>
      <c r="I38" s="3">
        <f t="shared" si="0"/>
        <v>44398.553695072493</v>
      </c>
      <c r="L38" s="3"/>
      <c r="M38" s="3"/>
      <c r="N38" s="3"/>
      <c r="O38" s="3"/>
      <c r="P38" s="3">
        <f t="shared" si="16"/>
        <v>51880.431808564594</v>
      </c>
      <c r="S38" s="3"/>
    </row>
    <row r="39" spans="1:20" x14ac:dyDescent="0.3">
      <c r="A39">
        <v>2004.1999999999998</v>
      </c>
      <c r="B39" s="1">
        <v>45026.400000000001</v>
      </c>
      <c r="C39" s="4">
        <f t="shared" si="2"/>
        <v>1.0222747943594435</v>
      </c>
      <c r="E39" s="3"/>
      <c r="F39" s="4"/>
      <c r="I39" s="3">
        <f t="shared" si="0"/>
        <v>45387.522348486942</v>
      </c>
      <c r="L39" s="3"/>
      <c r="M39" s="3"/>
      <c r="N39" s="3"/>
      <c r="O39" s="3"/>
      <c r="P39" s="3">
        <f t="shared" si="16"/>
        <v>53036.057758379502</v>
      </c>
      <c r="S39" s="3"/>
    </row>
    <row r="40" spans="1:20" x14ac:dyDescent="0.3">
      <c r="A40">
        <v>2004.2999999999997</v>
      </c>
      <c r="B40" s="1">
        <v>47556.7</v>
      </c>
      <c r="C40" s="4">
        <f t="shared" si="2"/>
        <v>1.056195920615461</v>
      </c>
      <c r="E40" s="3"/>
      <c r="F40" s="4"/>
      <c r="I40" s="3">
        <f t="shared" si="0"/>
        <v>47938.115951314976</v>
      </c>
      <c r="L40" s="3"/>
      <c r="M40" s="3"/>
      <c r="N40" s="3"/>
      <c r="O40" s="3"/>
      <c r="P40" s="3">
        <f t="shared" si="16"/>
        <v>56016.467849926397</v>
      </c>
      <c r="S40" s="3"/>
    </row>
    <row r="41" spans="1:20" x14ac:dyDescent="0.3">
      <c r="A41">
        <v>2004.3999999999996</v>
      </c>
      <c r="B41" s="1">
        <v>47738.3</v>
      </c>
      <c r="C41" s="4">
        <f t="shared" si="2"/>
        <v>1.0038185996925777</v>
      </c>
      <c r="E41" s="3">
        <f t="shared" ref="E41" si="19">SUM(B38:B41)</f>
        <v>184366.7</v>
      </c>
      <c r="F41" s="4">
        <f t="shared" ref="F41" si="20">E41/E37</f>
        <v>1.0619748927753079</v>
      </c>
      <c r="I41" s="3">
        <f t="shared" si="0"/>
        <v>48121.172426149424</v>
      </c>
      <c r="K41" s="3">
        <f>SUM(I38:I41)</f>
        <v>185845.36442102384</v>
      </c>
      <c r="L41" s="3">
        <f>L45/F45</f>
        <v>185845.36442102239</v>
      </c>
      <c r="M41" s="3">
        <f>K41-L41</f>
        <v>1.4551915228366852E-9</v>
      </c>
      <c r="N41" s="3"/>
      <c r="O41" s="3"/>
      <c r="P41" s="3">
        <f t="shared" si="16"/>
        <v>56230.372316837413</v>
      </c>
      <c r="R41" s="3">
        <f>SUM(P38:P41)</f>
        <v>217163.32973370794</v>
      </c>
      <c r="S41" s="3">
        <f>S45/F45</f>
        <v>217163.32973370785</v>
      </c>
      <c r="T41" s="3">
        <f>R41-S41</f>
        <v>0</v>
      </c>
    </row>
    <row r="42" spans="1:20" x14ac:dyDescent="0.3">
      <c r="A42">
        <v>2005.1</v>
      </c>
      <c r="B42" s="1">
        <v>44118.9</v>
      </c>
      <c r="C42" s="4">
        <f t="shared" si="2"/>
        <v>0.92418246984077768</v>
      </c>
      <c r="E42" s="3"/>
      <c r="F42" s="4"/>
      <c r="I42" s="3">
        <f t="shared" si="0"/>
        <v>44472.743984432702</v>
      </c>
      <c r="L42" s="3"/>
      <c r="M42" s="3"/>
      <c r="N42" s="3"/>
      <c r="O42" s="3"/>
      <c r="P42" s="3">
        <f t="shared" si="16"/>
        <v>51967.124367841294</v>
      </c>
      <c r="S42" s="3"/>
    </row>
    <row r="43" spans="1:20" x14ac:dyDescent="0.3">
      <c r="A43">
        <v>2005.1999999999998</v>
      </c>
      <c r="B43" s="1">
        <v>46003.4</v>
      </c>
      <c r="C43" s="4">
        <f t="shared" si="2"/>
        <v>1.0427141202523182</v>
      </c>
      <c r="E43" s="3"/>
      <c r="F43" s="4"/>
      <c r="I43" s="3">
        <f t="shared" si="0"/>
        <v>46372.358118934324</v>
      </c>
      <c r="L43" s="3"/>
      <c r="M43" s="3"/>
      <c r="N43" s="3"/>
      <c r="O43" s="3"/>
      <c r="P43" s="3">
        <f t="shared" si="16"/>
        <v>54186.854367256448</v>
      </c>
      <c r="S43" s="3"/>
    </row>
    <row r="44" spans="1:20" x14ac:dyDescent="0.3">
      <c r="A44">
        <v>2005.2999999999997</v>
      </c>
      <c r="B44" s="1">
        <v>47981.1</v>
      </c>
      <c r="C44" s="4">
        <f t="shared" si="2"/>
        <v>1.0429903007169035</v>
      </c>
      <c r="E44" s="3"/>
      <c r="F44" s="4"/>
      <c r="I44" s="3">
        <f t="shared" si="0"/>
        <v>48365.919739419252</v>
      </c>
      <c r="L44" s="3"/>
      <c r="M44" s="3"/>
      <c r="N44" s="3"/>
      <c r="O44" s="3"/>
      <c r="P44" s="3">
        <f t="shared" si="16"/>
        <v>56516.363531407856</v>
      </c>
      <c r="S44" s="3"/>
    </row>
    <row r="45" spans="1:20" x14ac:dyDescent="0.3">
      <c r="A45">
        <v>2005.3999999999996</v>
      </c>
      <c r="B45" s="1">
        <v>48230.400000000001</v>
      </c>
      <c r="C45" s="4">
        <f t="shared" si="2"/>
        <v>1.0051957958446138</v>
      </c>
      <c r="E45" s="3">
        <f t="shared" ref="E45" si="21">SUM(B42:B45)</f>
        <v>186333.8</v>
      </c>
      <c r="F45" s="4">
        <f t="shared" ref="F45" si="22">E45/E41</f>
        <v>1.010669497257368</v>
      </c>
      <c r="I45" s="3">
        <f t="shared" si="0"/>
        <v>48617.219184222253</v>
      </c>
      <c r="K45" s="3">
        <f>SUM(I42:I45)</f>
        <v>187828.24102700854</v>
      </c>
      <c r="L45" s="3">
        <f>L49/F49</f>
        <v>187828.24102700702</v>
      </c>
      <c r="M45" s="3">
        <f>K45-L45</f>
        <v>1.5133991837501526E-9</v>
      </c>
      <c r="N45" s="3"/>
      <c r="O45" s="3"/>
      <c r="P45" s="3">
        <f t="shared" si="16"/>
        <v>56810.01101819703</v>
      </c>
      <c r="R45" s="3">
        <f>SUM(P42:P45)</f>
        <v>219480.35328470261</v>
      </c>
      <c r="S45" s="3">
        <f>S49/F49</f>
        <v>219480.35328470255</v>
      </c>
      <c r="T45" s="3">
        <f>R45-S45</f>
        <v>0</v>
      </c>
    </row>
    <row r="46" spans="1:20" x14ac:dyDescent="0.3">
      <c r="A46">
        <v>2006.1</v>
      </c>
      <c r="B46" s="1">
        <v>46375.3</v>
      </c>
      <c r="C46" s="4">
        <f t="shared" si="2"/>
        <v>0.9615367071390658</v>
      </c>
      <c r="E46" s="3"/>
      <c r="F46" s="4"/>
      <c r="I46" s="3">
        <f t="shared" si="0"/>
        <v>46747.240844655287</v>
      </c>
      <c r="L46" s="3"/>
      <c r="M46" s="3"/>
      <c r="N46" s="3"/>
      <c r="O46" s="3"/>
      <c r="P46" s="3">
        <f t="shared" si="16"/>
        <v>54624.910926971221</v>
      </c>
      <c r="S46" s="3"/>
    </row>
    <row r="47" spans="1:20" x14ac:dyDescent="0.3">
      <c r="A47">
        <v>2006.1999999999998</v>
      </c>
      <c r="B47" s="2">
        <v>48562</v>
      </c>
      <c r="C47" s="4">
        <f t="shared" si="2"/>
        <v>1.0471522556188315</v>
      </c>
      <c r="E47" s="3"/>
      <c r="F47" s="4"/>
      <c r="I47" s="3">
        <f t="shared" si="0"/>
        <v>48951.478694437552</v>
      </c>
      <c r="L47" s="3"/>
      <c r="M47" s="3"/>
      <c r="N47" s="3"/>
      <c r="O47" s="3"/>
      <c r="P47" s="3">
        <f t="shared" si="16"/>
        <v>57200.598690155668</v>
      </c>
      <c r="S47" s="3"/>
    </row>
    <row r="48" spans="1:20" x14ac:dyDescent="0.3">
      <c r="A48">
        <v>2006.2999999999997</v>
      </c>
      <c r="B48" s="2">
        <v>49731</v>
      </c>
      <c r="C48" s="4">
        <f t="shared" si="2"/>
        <v>1.0240723199209258</v>
      </c>
      <c r="E48" s="3"/>
      <c r="F48" s="4"/>
      <c r="I48" s="3">
        <f t="shared" si="0"/>
        <v>50129.854350172442</v>
      </c>
      <c r="L48" s="3"/>
      <c r="M48" s="3"/>
      <c r="N48" s="3"/>
      <c r="O48" s="3"/>
      <c r="P48" s="3">
        <f t="shared" si="16"/>
        <v>58577.549801493587</v>
      </c>
      <c r="S48" s="3"/>
    </row>
    <row r="49" spans="1:20" x14ac:dyDescent="0.3">
      <c r="A49">
        <v>2006.3999999999996</v>
      </c>
      <c r="B49" s="1">
        <v>51437.7</v>
      </c>
      <c r="C49" s="4">
        <f t="shared" si="2"/>
        <v>1.0343186342522772</v>
      </c>
      <c r="E49" s="3">
        <f t="shared" ref="E49" si="23">SUM(B46:B49)</f>
        <v>196106</v>
      </c>
      <c r="F49" s="4">
        <f t="shared" ref="F49" si="24">E49/E45</f>
        <v>1.0524445913731164</v>
      </c>
      <c r="I49" s="3">
        <f t="shared" si="0"/>
        <v>51850.242486735937</v>
      </c>
      <c r="K49" s="3">
        <f>SUM(I46:I49)</f>
        <v>197678.81637600122</v>
      </c>
      <c r="L49" s="3">
        <f>L53/F53</f>
        <v>197678.81637599962</v>
      </c>
      <c r="M49" s="3">
        <f>K49-L49</f>
        <v>1.6007106751203537E-9</v>
      </c>
      <c r="N49" s="3"/>
      <c r="O49" s="3"/>
      <c r="P49" s="3">
        <f t="shared" si="16"/>
        <v>60587.851308525598</v>
      </c>
      <c r="R49" s="3">
        <f>SUM(P46:P49)</f>
        <v>230990.91072714608</v>
      </c>
      <c r="S49" s="3">
        <f>S53/F53</f>
        <v>230990.91072714599</v>
      </c>
      <c r="T49" s="3">
        <f>R49-S49</f>
        <v>0</v>
      </c>
    </row>
    <row r="50" spans="1:20" x14ac:dyDescent="0.3">
      <c r="A50">
        <v>2007.1</v>
      </c>
      <c r="B50" s="1">
        <v>47687.199999999997</v>
      </c>
      <c r="C50" s="4">
        <f t="shared" si="2"/>
        <v>0.92708655324790956</v>
      </c>
      <c r="E50" s="3"/>
      <c r="F50" s="4"/>
      <c r="I50" s="3">
        <f t="shared" si="0"/>
        <v>48069.662592096342</v>
      </c>
      <c r="L50" s="3"/>
      <c r="M50" s="3"/>
      <c r="N50" s="3"/>
      <c r="O50" s="3"/>
      <c r="P50" s="3">
        <f t="shared" si="16"/>
        <v>56170.182238317844</v>
      </c>
      <c r="S50" s="3"/>
    </row>
    <row r="51" spans="1:20" x14ac:dyDescent="0.3">
      <c r="A51">
        <v>2007.1999999999998</v>
      </c>
      <c r="B51" s="1">
        <v>51361.4</v>
      </c>
      <c r="C51" s="4">
        <f t="shared" si="2"/>
        <v>1.0770479290040096</v>
      </c>
      <c r="E51" s="3"/>
      <c r="F51" s="4"/>
      <c r="I51" s="3">
        <f t="shared" si="0"/>
        <v>51773.330542738877</v>
      </c>
      <c r="L51" s="3"/>
      <c r="M51" s="3"/>
      <c r="N51" s="3"/>
      <c r="O51" s="3"/>
      <c r="P51" s="3">
        <f t="shared" si="16"/>
        <v>60497.97845155804</v>
      </c>
      <c r="S51" s="3"/>
    </row>
    <row r="52" spans="1:20" x14ac:dyDescent="0.3">
      <c r="A52">
        <v>2007.2999999999997</v>
      </c>
      <c r="B52" s="1">
        <v>51774.1</v>
      </c>
      <c r="C52" s="4">
        <f t="shared" si="2"/>
        <v>1.0080352171085678</v>
      </c>
      <c r="E52" s="3"/>
      <c r="F52" s="4"/>
      <c r="I52" s="3">
        <f t="shared" si="0"/>
        <v>52189.34049408343</v>
      </c>
      <c r="L52" s="3"/>
      <c r="M52" s="3"/>
      <c r="N52" s="3"/>
      <c r="O52" s="3"/>
      <c r="P52" s="3">
        <f t="shared" si="16"/>
        <v>60984.092843045764</v>
      </c>
      <c r="S52" s="3"/>
    </row>
    <row r="53" spans="1:20" x14ac:dyDescent="0.3">
      <c r="A53">
        <v>2007.3999999999996</v>
      </c>
      <c r="B53" s="1">
        <v>51085.5</v>
      </c>
      <c r="C53" s="4">
        <f t="shared" si="2"/>
        <v>0.98669991366339538</v>
      </c>
      <c r="E53" s="3">
        <f t="shared" ref="E53" si="25">SUM(B50:B53)</f>
        <v>201908.2</v>
      </c>
      <c r="F53" s="4">
        <f t="shared" ref="F53" si="26">E53/E49</f>
        <v>1.0295870600593557</v>
      </c>
      <c r="I53" s="3">
        <f t="shared" si="0"/>
        <v>51495.217759661668</v>
      </c>
      <c r="K53" s="3">
        <f>SUM(I50:I53)</f>
        <v>203527.55138858029</v>
      </c>
      <c r="L53" s="3">
        <f>L57/F57</f>
        <v>203527.55138857869</v>
      </c>
      <c r="M53" s="3">
        <f>K53-L53</f>
        <v>1.6007106751203537E-9</v>
      </c>
      <c r="N53" s="3"/>
      <c r="O53" s="3"/>
      <c r="P53" s="3">
        <f t="shared" si="16"/>
        <v>60172.999143073743</v>
      </c>
      <c r="R53" s="3">
        <f>SUM(P50:P53)</f>
        <v>237825.25267599541</v>
      </c>
      <c r="S53" s="3">
        <f>S57/F57</f>
        <v>237825.25267599535</v>
      </c>
      <c r="T53" s="3">
        <f>R53-S53</f>
        <v>0</v>
      </c>
    </row>
    <row r="54" spans="1:20" x14ac:dyDescent="0.3">
      <c r="A54">
        <v>2008.1</v>
      </c>
      <c r="B54" s="1">
        <v>48710.7</v>
      </c>
      <c r="C54" s="4">
        <f t="shared" si="2"/>
        <v>0.95351322782394221</v>
      </c>
      <c r="E54" s="3"/>
      <c r="F54" s="4"/>
      <c r="I54" s="3">
        <f t="shared" si="0"/>
        <v>49101.371303511791</v>
      </c>
      <c r="L54" s="3"/>
      <c r="M54" s="3"/>
      <c r="N54" s="3"/>
      <c r="O54" s="3"/>
      <c r="P54" s="3">
        <f t="shared" si="16"/>
        <v>57375.75064075955</v>
      </c>
      <c r="S54" s="3"/>
    </row>
    <row r="55" spans="1:20" x14ac:dyDescent="0.3">
      <c r="A55">
        <v>2008.1999999999998</v>
      </c>
      <c r="B55" s="1">
        <v>50768.800000000003</v>
      </c>
      <c r="C55" s="4">
        <f t="shared" si="2"/>
        <v>1.0422514971043324</v>
      </c>
      <c r="E55" s="3"/>
      <c r="F55" s="4"/>
      <c r="I55" s="3">
        <f t="shared" si="0"/>
        <v>51175.977750960868</v>
      </c>
      <c r="L55" s="3"/>
      <c r="M55" s="3"/>
      <c r="N55" s="3"/>
      <c r="O55" s="3"/>
      <c r="P55" s="3">
        <f t="shared" si="16"/>
        <v>59799.962002816501</v>
      </c>
      <c r="S55" s="3"/>
    </row>
    <row r="56" spans="1:20" x14ac:dyDescent="0.3">
      <c r="A56">
        <v>2008.2999999999997</v>
      </c>
      <c r="B56" s="2">
        <v>51680</v>
      </c>
      <c r="C56" s="4">
        <f t="shared" si="2"/>
        <v>1.0179480310742031</v>
      </c>
      <c r="E56" s="3"/>
      <c r="F56" s="4"/>
      <c r="I56" s="3">
        <f t="shared" si="0"/>
        <v>52094.48578988784</v>
      </c>
      <c r="L56" s="3"/>
      <c r="M56" s="3"/>
      <c r="N56" s="3"/>
      <c r="O56" s="3"/>
      <c r="P56" s="3">
        <f t="shared" si="16"/>
        <v>60873.253579079217</v>
      </c>
      <c r="S56" s="3"/>
    </row>
    <row r="57" spans="1:20" x14ac:dyDescent="0.3">
      <c r="A57">
        <v>2008.3999999999996</v>
      </c>
      <c r="B57" s="1">
        <v>51341.1</v>
      </c>
      <c r="C57" s="4">
        <f t="shared" si="2"/>
        <v>0.99344233746130028</v>
      </c>
      <c r="E57" s="3">
        <f t="shared" ref="E57" si="27">SUM(B54:B57)</f>
        <v>202500.6</v>
      </c>
      <c r="F57" s="4">
        <f t="shared" ref="F57" si="28">E57/E53</f>
        <v>1.0029340066426227</v>
      </c>
      <c r="I57" s="3">
        <f t="shared" si="0"/>
        <v>51752.867731950668</v>
      </c>
      <c r="K57" s="3">
        <f>SUM(I54:I57)</f>
        <v>204124.70257631119</v>
      </c>
      <c r="L57" s="3">
        <f>L61/F61</f>
        <v>204124.7025763095</v>
      </c>
      <c r="M57" s="3">
        <f>K57-L57</f>
        <v>1.6880221664905548E-9</v>
      </c>
      <c r="N57" s="3"/>
      <c r="O57" s="3"/>
      <c r="P57" s="3">
        <f t="shared" si="16"/>
        <v>60474.06732447492</v>
      </c>
      <c r="R57" s="3">
        <f>SUM(P54:P57)</f>
        <v>238523.03354713018</v>
      </c>
      <c r="S57" s="3">
        <f>S61/F61</f>
        <v>238523.03354713012</v>
      </c>
      <c r="T57" s="3">
        <f>R57-S57</f>
        <v>0</v>
      </c>
    </row>
    <row r="58" spans="1:20" x14ac:dyDescent="0.3">
      <c r="A58">
        <v>2009.1</v>
      </c>
      <c r="B58" s="2">
        <v>46343</v>
      </c>
      <c r="C58" s="4">
        <f t="shared" si="2"/>
        <v>0.90264914464240154</v>
      </c>
      <c r="E58" s="3"/>
      <c r="F58" s="4"/>
      <c r="I58" s="3">
        <f t="shared" si="0"/>
        <v>46714.681791036615</v>
      </c>
      <c r="L58" s="3"/>
      <c r="M58" s="3"/>
      <c r="N58" s="3"/>
      <c r="O58" s="3"/>
      <c r="P58" s="3">
        <f t="shared" si="16"/>
        <v>54586.86514348429</v>
      </c>
      <c r="S58" s="3"/>
    </row>
    <row r="59" spans="1:20" x14ac:dyDescent="0.3">
      <c r="A59">
        <v>2009.1999999999998</v>
      </c>
      <c r="B59" s="1">
        <v>49147.9</v>
      </c>
      <c r="C59" s="4">
        <f t="shared" si="2"/>
        <v>1.0605247825993138</v>
      </c>
      <c r="E59" s="3"/>
      <c r="F59" s="4"/>
      <c r="I59" s="3">
        <f t="shared" si="0"/>
        <v>49542.077750635231</v>
      </c>
      <c r="L59" s="3"/>
      <c r="M59" s="3"/>
      <c r="N59" s="3"/>
      <c r="O59" s="3"/>
      <c r="P59" s="3">
        <f t="shared" si="16"/>
        <v>57890.723289071742</v>
      </c>
      <c r="S59" s="3"/>
    </row>
    <row r="60" spans="1:20" x14ac:dyDescent="0.3">
      <c r="A60">
        <v>2009.2999999999997</v>
      </c>
      <c r="B60" s="2">
        <v>50257</v>
      </c>
      <c r="C60" s="4">
        <f t="shared" si="2"/>
        <v>1.0225665796504022</v>
      </c>
      <c r="E60" s="3"/>
      <c r="F60" s="4"/>
      <c r="I60" s="3">
        <f t="shared" si="0"/>
        <v>50660.07299424136</v>
      </c>
      <c r="L60" s="3"/>
      <c r="M60" s="3"/>
      <c r="N60" s="3"/>
      <c r="O60" s="3"/>
      <c r="P60" s="3">
        <f t="shared" si="16"/>
        <v>59197.118907193973</v>
      </c>
      <c r="S60" s="3"/>
    </row>
    <row r="61" spans="1:20" x14ac:dyDescent="0.3">
      <c r="A61">
        <v>2009.3999999999996</v>
      </c>
      <c r="B61" s="2">
        <v>50099</v>
      </c>
      <c r="C61" s="4">
        <f t="shared" si="2"/>
        <v>0.99685615934098737</v>
      </c>
      <c r="E61" s="3">
        <f t="shared" ref="E61" si="29">SUM(B58:B61)</f>
        <v>195846.9</v>
      </c>
      <c r="F61" s="4">
        <f t="shared" ref="F61" si="30">E61/E57</f>
        <v>0.96714231957831232</v>
      </c>
      <c r="I61" s="3">
        <f t="shared" si="0"/>
        <v>50500.805796973516</v>
      </c>
      <c r="K61" s="3">
        <f>SUM(I58:I61)</f>
        <v>197417.63833288674</v>
      </c>
      <c r="L61" s="3">
        <f>L65/F65</f>
        <v>197417.63833288508</v>
      </c>
      <c r="M61" s="3">
        <f>K61-L61</f>
        <v>1.6589183360338211E-9</v>
      </c>
      <c r="N61" s="3"/>
      <c r="O61" s="3"/>
      <c r="P61" s="3">
        <f t="shared" si="16"/>
        <v>59011.012597877132</v>
      </c>
      <c r="R61" s="3">
        <f>SUM(P58:P61)</f>
        <v>230685.71993762715</v>
      </c>
      <c r="S61" s="3">
        <f>S65/F65</f>
        <v>230685.71993762703</v>
      </c>
      <c r="T61" s="3">
        <f>R61-S61</f>
        <v>0</v>
      </c>
    </row>
    <row r="62" spans="1:20" x14ac:dyDescent="0.3">
      <c r="A62">
        <v>2010.1</v>
      </c>
      <c r="B62" s="2">
        <v>45987</v>
      </c>
      <c r="C62" s="4">
        <f t="shared" si="2"/>
        <v>0.91792251342342157</v>
      </c>
      <c r="E62" s="3"/>
      <c r="F62" s="4"/>
      <c r="I62" s="3">
        <f t="shared" si="0"/>
        <v>46355.826587066025</v>
      </c>
      <c r="L62" s="3"/>
      <c r="M62" s="3"/>
      <c r="N62" s="3"/>
      <c r="O62" s="3"/>
      <c r="P62" s="3">
        <f t="shared" si="16"/>
        <v>54167.537003504571</v>
      </c>
      <c r="S62" s="3"/>
    </row>
    <row r="63" spans="1:20" x14ac:dyDescent="0.3">
      <c r="A63">
        <v>2010.1999999999998</v>
      </c>
      <c r="B63" s="1">
        <v>46645.2</v>
      </c>
      <c r="C63" s="4">
        <f t="shared" si="2"/>
        <v>1.014312740557114</v>
      </c>
      <c r="E63" s="3"/>
      <c r="F63" s="4"/>
      <c r="I63" s="3">
        <f t="shared" si="0"/>
        <v>47019.305506317265</v>
      </c>
      <c r="L63" s="3"/>
      <c r="M63" s="3"/>
      <c r="N63" s="3"/>
      <c r="O63" s="3"/>
      <c r="P63" s="3">
        <f t="shared" si="16"/>
        <v>54942.822907253605</v>
      </c>
      <c r="S63" s="3"/>
    </row>
    <row r="64" spans="1:20" x14ac:dyDescent="0.3">
      <c r="A64">
        <v>2010.2999999999997</v>
      </c>
      <c r="B64" s="1">
        <v>45887.7</v>
      </c>
      <c r="C64" s="4">
        <f t="shared" si="2"/>
        <v>0.98376038692084078</v>
      </c>
      <c r="E64" s="3"/>
      <c r="F64" s="4"/>
      <c r="I64" s="3">
        <f t="shared" si="0"/>
        <v>46255.730177643891</v>
      </c>
      <c r="L64" s="3"/>
      <c r="M64" s="3"/>
      <c r="N64" s="3"/>
      <c r="O64" s="3"/>
      <c r="P64" s="3">
        <f t="shared" si="16"/>
        <v>54050.572721763041</v>
      </c>
      <c r="S64" s="3"/>
    </row>
    <row r="65" spans="1:20" x14ac:dyDescent="0.3">
      <c r="A65">
        <v>2010.3999999999996</v>
      </c>
      <c r="B65" s="1">
        <v>45902.3</v>
      </c>
      <c r="C65" s="4">
        <f t="shared" si="2"/>
        <v>1.0003181680493902</v>
      </c>
      <c r="E65" s="3">
        <f t="shared" ref="E65" si="31">SUM(B62:B65)</f>
        <v>184422.2</v>
      </c>
      <c r="F65" s="4">
        <f t="shared" ref="F65" si="32">E65/E61</f>
        <v>0.94166514762296472</v>
      </c>
      <c r="I65" s="3">
        <f t="shared" si="0"/>
        <v>46270.44727308763</v>
      </c>
      <c r="K65" s="3">
        <f>SUM(I62:I65)</f>
        <v>185901.3095441148</v>
      </c>
      <c r="L65" s="3">
        <f>L69/F69</f>
        <v>185901.30954411329</v>
      </c>
      <c r="M65" s="3">
        <f>K65-L65</f>
        <v>1.5133991837501526E-9</v>
      </c>
      <c r="N65" s="3"/>
      <c r="O65" s="3"/>
      <c r="P65" s="3">
        <f t="shared" si="16"/>
        <v>54067.769887054346</v>
      </c>
      <c r="R65" s="3">
        <f>SUM(P62:P65)</f>
        <v>217228.70251957557</v>
      </c>
      <c r="S65" s="3">
        <f>S69/F69</f>
        <v>217228.70251957545</v>
      </c>
      <c r="T65" s="3">
        <f>R65-S65</f>
        <v>0</v>
      </c>
    </row>
    <row r="66" spans="1:20" x14ac:dyDescent="0.3">
      <c r="A66">
        <v>2011.1</v>
      </c>
      <c r="B66" s="1">
        <v>41441.1</v>
      </c>
      <c r="C66" s="4">
        <f t="shared" si="2"/>
        <v>0.90281097025639234</v>
      </c>
      <c r="E66" s="3"/>
      <c r="F66" s="4"/>
      <c r="I66" s="3">
        <f t="shared" si="0"/>
        <v>41773.467396813488</v>
      </c>
      <c r="L66" s="3"/>
      <c r="M66" s="3"/>
      <c r="N66" s="3"/>
      <c r="O66" s="3"/>
      <c r="P66" s="3">
        <f t="shared" si="16"/>
        <v>48812.975791330886</v>
      </c>
      <c r="S66" s="3"/>
    </row>
    <row r="67" spans="1:20" x14ac:dyDescent="0.3">
      <c r="A67">
        <v>2011.1999999999998</v>
      </c>
      <c r="B67" s="1">
        <v>42933.2</v>
      </c>
      <c r="C67" s="4">
        <f t="shared" si="2"/>
        <v>1.0360053183916449</v>
      </c>
      <c r="E67" s="3"/>
      <c r="F67" s="4"/>
      <c r="I67" s="3">
        <f t="shared" ref="I67:I80" si="33">I68/C68</f>
        <v>43277.534390758752</v>
      </c>
      <c r="L67" s="3"/>
      <c r="M67" s="3"/>
      <c r="N67" s="3"/>
      <c r="O67" s="3"/>
      <c r="P67" s="3">
        <f t="shared" ref="P67:P98" si="34">P68/C68</f>
        <v>50570.502526341406</v>
      </c>
      <c r="S67" s="3"/>
    </row>
    <row r="68" spans="1:20" x14ac:dyDescent="0.3">
      <c r="A68">
        <v>2011.2999999999997</v>
      </c>
      <c r="B68" s="1">
        <v>42956.9</v>
      </c>
      <c r="C68" s="4">
        <f t="shared" ref="C68:C123" si="35">B68/B67</f>
        <v>1.0005520203478895</v>
      </c>
      <c r="E68" s="3"/>
      <c r="F68" s="4"/>
      <c r="I68" s="3">
        <f t="shared" si="33"/>
        <v>43301.424470348938</v>
      </c>
      <c r="L68" s="3"/>
      <c r="M68" s="3"/>
      <c r="N68" s="3"/>
      <c r="O68" s="3"/>
      <c r="P68" s="3">
        <f t="shared" si="34"/>
        <v>50598.418472738944</v>
      </c>
      <c r="S68" s="3"/>
    </row>
    <row r="69" spans="1:20" x14ac:dyDescent="0.3">
      <c r="A69">
        <v>2011.3999999999996</v>
      </c>
      <c r="B69" s="2">
        <v>40724</v>
      </c>
      <c r="C69" s="4">
        <f t="shared" si="35"/>
        <v>0.94801999213164823</v>
      </c>
      <c r="E69" s="3">
        <f t="shared" ref="E69" si="36">SUM(B66:B69)</f>
        <v>168055.19999999998</v>
      </c>
      <c r="F69" s="4">
        <f t="shared" ref="F69" si="37">E69/E65</f>
        <v>0.91125254985571136</v>
      </c>
      <c r="I69" s="3">
        <f t="shared" si="33"/>
        <v>41050.61608566936</v>
      </c>
      <c r="K69" s="3">
        <f>SUM(I66:I69)</f>
        <v>169403.04234359052</v>
      </c>
      <c r="L69" s="3">
        <f>L73/F73</f>
        <v>169403.04234358913</v>
      </c>
      <c r="M69" s="3">
        <f>K69-L69</f>
        <v>1.3969838619232178E-9</v>
      </c>
      <c r="N69" s="3"/>
      <c r="O69" s="3"/>
      <c r="P69" s="3">
        <f t="shared" si="34"/>
        <v>47968.31228239982</v>
      </c>
      <c r="R69" s="3">
        <f>SUM(P66:P69)</f>
        <v>197950.20907281106</v>
      </c>
      <c r="S69" s="3">
        <f>S73/F73</f>
        <v>197950.20907281092</v>
      </c>
      <c r="T69" s="3">
        <f>R69-S69</f>
        <v>0</v>
      </c>
    </row>
    <row r="70" spans="1:20" x14ac:dyDescent="0.3">
      <c r="A70">
        <v>2012.1</v>
      </c>
      <c r="B70" s="1">
        <v>37798.800000000003</v>
      </c>
      <c r="C70" s="4">
        <f t="shared" si="35"/>
        <v>0.92817012081327976</v>
      </c>
      <c r="E70" s="3"/>
      <c r="F70" s="4"/>
      <c r="I70" s="3">
        <f t="shared" si="33"/>
        <v>38101.955291695296</v>
      </c>
      <c r="L70" s="3"/>
      <c r="M70" s="3"/>
      <c r="N70" s="3"/>
      <c r="O70" s="3"/>
      <c r="P70" s="3">
        <f t="shared" si="34"/>
        <v>44522.754206364174</v>
      </c>
      <c r="S70" s="3"/>
    </row>
    <row r="71" spans="1:20" x14ac:dyDescent="0.3">
      <c r="A71">
        <v>2012.1999999999998</v>
      </c>
      <c r="B71" s="1">
        <v>39176.199999999997</v>
      </c>
      <c r="C71" s="4">
        <f t="shared" si="35"/>
        <v>1.0364403102744</v>
      </c>
      <c r="E71" s="3"/>
      <c r="F71" s="4"/>
      <c r="I71" s="3">
        <f t="shared" si="33"/>
        <v>39490.402364585992</v>
      </c>
      <c r="L71" s="3"/>
      <c r="M71" s="3"/>
      <c r="N71" s="3"/>
      <c r="O71" s="3"/>
      <c r="P71" s="3">
        <f t="shared" si="34"/>
        <v>46145.17718391493</v>
      </c>
      <c r="S71" s="3"/>
    </row>
    <row r="72" spans="1:20" x14ac:dyDescent="0.3">
      <c r="A72">
        <v>2012.2999999999997</v>
      </c>
      <c r="B72" s="1">
        <v>39852.199999999997</v>
      </c>
      <c r="C72" s="4">
        <f t="shared" si="35"/>
        <v>1.01725537443652</v>
      </c>
      <c r="E72" s="3"/>
      <c r="F72" s="4"/>
      <c r="I72" s="3">
        <f t="shared" si="33"/>
        <v>40171.824044035762</v>
      </c>
      <c r="L72" s="3"/>
      <c r="M72" s="3"/>
      <c r="N72" s="3"/>
      <c r="O72" s="3"/>
      <c r="P72" s="3">
        <f t="shared" si="34"/>
        <v>46941.429494662945</v>
      </c>
      <c r="S72" s="3"/>
    </row>
    <row r="73" spans="1:20" x14ac:dyDescent="0.3">
      <c r="A73">
        <v>2012.3999999999996</v>
      </c>
      <c r="B73" s="1">
        <v>39130.6</v>
      </c>
      <c r="C73" s="4">
        <f t="shared" si="35"/>
        <v>0.98189309498597321</v>
      </c>
      <c r="E73" s="3">
        <f t="shared" ref="E73" si="38">SUM(B70:B73)</f>
        <v>155957.79999999999</v>
      </c>
      <c r="F73" s="4">
        <f t="shared" ref="F73" si="39">E73/E69</f>
        <v>0.92801531877621168</v>
      </c>
      <c r="I73" s="3">
        <f t="shared" si="33"/>
        <v>39444.436641830209</v>
      </c>
      <c r="K73" s="3">
        <f>SUM(I70:I73)</f>
        <v>157208.61834214727</v>
      </c>
      <c r="L73" s="3">
        <f>L77/F77</f>
        <v>157208.61834214596</v>
      </c>
      <c r="M73" s="3">
        <f>K73-L73</f>
        <v>1.3096723705530167E-9</v>
      </c>
      <c r="N73" s="3"/>
      <c r="O73" s="3"/>
      <c r="P73" s="3">
        <f t="shared" si="34"/>
        <v>46091.465489580449</v>
      </c>
      <c r="R73" s="3">
        <f>SUM(P70:P73)</f>
        <v>183700.8263745225</v>
      </c>
      <c r="S73" s="3">
        <f>S77/F77</f>
        <v>183700.82637452238</v>
      </c>
      <c r="T73" s="3">
        <f>R73-S73</f>
        <v>0</v>
      </c>
    </row>
    <row r="74" spans="1:20" x14ac:dyDescent="0.3">
      <c r="A74">
        <v>2013.1</v>
      </c>
      <c r="B74" s="1">
        <v>35742.9</v>
      </c>
      <c r="C74" s="4">
        <f t="shared" si="35"/>
        <v>0.91342580997991352</v>
      </c>
      <c r="E74" s="3"/>
      <c r="F74" s="4"/>
      <c r="I74" s="3">
        <f t="shared" si="33"/>
        <v>36029.566488765136</v>
      </c>
      <c r="L74" s="3"/>
      <c r="M74" s="3"/>
      <c r="N74" s="3"/>
      <c r="O74" s="3"/>
      <c r="P74" s="3">
        <f t="shared" si="34"/>
        <v>42101.13419798125</v>
      </c>
      <c r="S74" s="3"/>
    </row>
    <row r="75" spans="1:20" x14ac:dyDescent="0.3">
      <c r="A75">
        <v>2013.1999999999998</v>
      </c>
      <c r="B75" s="1">
        <v>38221.599999999999</v>
      </c>
      <c r="C75" s="4">
        <f t="shared" si="35"/>
        <v>1.0693480383516725</v>
      </c>
      <c r="E75" s="3"/>
      <c r="F75" s="4"/>
      <c r="I75" s="3">
        <f t="shared" si="33"/>
        <v>38528.146247422155</v>
      </c>
      <c r="L75" s="3"/>
      <c r="M75" s="3"/>
      <c r="N75" s="3"/>
      <c r="O75" s="3"/>
      <c r="P75" s="3">
        <f t="shared" si="34"/>
        <v>45020.765266991766</v>
      </c>
      <c r="S75" s="3"/>
    </row>
    <row r="76" spans="1:20" x14ac:dyDescent="0.3">
      <c r="A76">
        <v>2013.2999999999997</v>
      </c>
      <c r="B76" s="1">
        <v>39857.800000000003</v>
      </c>
      <c r="C76" s="4">
        <f t="shared" si="35"/>
        <v>1.042808255018105</v>
      </c>
      <c r="E76" s="3"/>
      <c r="F76" s="4"/>
      <c r="I76" s="3">
        <f t="shared" si="33"/>
        <v>40177.46895735665</v>
      </c>
      <c r="L76" s="3"/>
      <c r="M76" s="3"/>
      <c r="N76" s="3"/>
      <c r="O76" s="3"/>
      <c r="P76" s="3">
        <f t="shared" si="34"/>
        <v>46948.025667651396</v>
      </c>
      <c r="S76" s="3"/>
    </row>
    <row r="77" spans="1:20" x14ac:dyDescent="0.3">
      <c r="A77">
        <v>2013.3999999999996</v>
      </c>
      <c r="B77" s="1">
        <v>39538.800000000003</v>
      </c>
      <c r="C77" s="4">
        <f t="shared" si="35"/>
        <v>0.99199654772717005</v>
      </c>
      <c r="E77" s="3">
        <f t="shared" ref="E77" si="40">SUM(B74:B77)</f>
        <v>153361.1</v>
      </c>
      <c r="F77" s="4">
        <f t="shared" ref="F77" si="41">E77/E73</f>
        <v>0.98334998313646393</v>
      </c>
      <c r="I77" s="3">
        <f t="shared" si="33"/>
        <v>39855.910502113336</v>
      </c>
      <c r="K77" s="3">
        <f>SUM(I74:I77)</f>
        <v>154591.09219565729</v>
      </c>
      <c r="L77" s="3">
        <f>L81/F81</f>
        <v>154591.09219565603</v>
      </c>
      <c r="M77" s="3">
        <f>K77-L77</f>
        <v>1.2514647096395493E-9</v>
      </c>
      <c r="N77" s="3"/>
      <c r="O77" s="3"/>
      <c r="P77" s="3">
        <f t="shared" si="34"/>
        <v>46572.27938491675</v>
      </c>
      <c r="R77" s="3">
        <f>SUM(P74:P77)</f>
        <v>180642.20451754116</v>
      </c>
      <c r="S77" s="3">
        <f>S81/F81</f>
        <v>180642.20451754107</v>
      </c>
      <c r="T77" s="3">
        <f>R77-S77</f>
        <v>0</v>
      </c>
    </row>
    <row r="78" spans="1:20" x14ac:dyDescent="0.3">
      <c r="A78">
        <v>2014.1</v>
      </c>
      <c r="B78" s="1">
        <v>36083.4</v>
      </c>
      <c r="C78" s="4">
        <f t="shared" si="35"/>
        <v>0.91260736289416977</v>
      </c>
      <c r="E78" s="3"/>
      <c r="F78" s="4"/>
      <c r="I78" s="3">
        <f t="shared" si="33"/>
        <v>36372.797379079697</v>
      </c>
      <c r="L78" s="3"/>
      <c r="M78" s="3"/>
      <c r="N78" s="3"/>
      <c r="O78" s="3"/>
      <c r="P78" s="3">
        <f t="shared" si="34"/>
        <v>42502.205073439385</v>
      </c>
      <c r="S78" s="3"/>
    </row>
    <row r="79" spans="1:20" x14ac:dyDescent="0.3">
      <c r="A79">
        <v>2014.1999999999998</v>
      </c>
      <c r="B79" s="1">
        <v>38333.800000000003</v>
      </c>
      <c r="C79" s="4">
        <f t="shared" si="35"/>
        <v>1.0623666284219337</v>
      </c>
      <c r="E79" s="3"/>
      <c r="F79" s="4"/>
      <c r="I79" s="3">
        <f t="shared" si="33"/>
        <v>38641.246117887044</v>
      </c>
      <c r="L79" s="3"/>
      <c r="M79" s="3"/>
      <c r="N79" s="3"/>
      <c r="O79" s="3"/>
      <c r="P79" s="3">
        <f t="shared" si="34"/>
        <v>45152.924304367407</v>
      </c>
      <c r="S79" s="3"/>
    </row>
    <row r="80" spans="1:20" x14ac:dyDescent="0.3">
      <c r="A80">
        <v>2014.2999999999997</v>
      </c>
      <c r="B80" s="1">
        <v>39907.300000000003</v>
      </c>
      <c r="C80" s="4">
        <f t="shared" si="35"/>
        <v>1.0410473263803746</v>
      </c>
      <c r="E80" s="3"/>
      <c r="F80" s="4"/>
      <c r="I80" s="3">
        <f t="shared" si="33"/>
        <v>40227.365959032337</v>
      </c>
      <c r="L80" s="3"/>
      <c r="M80" s="3"/>
      <c r="N80" s="3"/>
      <c r="O80" s="3"/>
      <c r="P80" s="3">
        <f t="shared" si="34"/>
        <v>47006.33112531712</v>
      </c>
      <c r="S80" s="3"/>
    </row>
    <row r="81" spans="1:20" x14ac:dyDescent="0.3">
      <c r="A81">
        <v>2014.3999999999996</v>
      </c>
      <c r="B81" s="1">
        <v>39213.699999999997</v>
      </c>
      <c r="C81" s="4">
        <f t="shared" si="35"/>
        <v>0.98261972120388985</v>
      </c>
      <c r="E81" s="3">
        <f t="shared" ref="E81" si="42">SUM(B78:B81)</f>
        <v>153538.20000000001</v>
      </c>
      <c r="F81" s="4">
        <f t="shared" ref="F81" si="43">E81/E77</f>
        <v>1.0011547908824336</v>
      </c>
      <c r="I81" s="3">
        <f>I82/C82</f>
        <v>39528.203123431202</v>
      </c>
      <c r="K81" s="3">
        <f>SUM(I78:I81)</f>
        <v>154769.61257943028</v>
      </c>
      <c r="L81" s="3">
        <f>L85/F85</f>
        <v>154769.61257942903</v>
      </c>
      <c r="M81" s="3">
        <f>K81-L81</f>
        <v>1.2514647096395493E-9</v>
      </c>
      <c r="N81" s="3"/>
      <c r="O81" s="3"/>
      <c r="P81" s="3">
        <f t="shared" si="34"/>
        <v>46189.347985176835</v>
      </c>
      <c r="R81" s="3">
        <f>SUM(P78:P81)</f>
        <v>180850.80848830074</v>
      </c>
      <c r="S81" s="3">
        <f>S85/F85</f>
        <v>180850.80848830065</v>
      </c>
      <c r="T81" s="3">
        <f>R81-S81</f>
        <v>0</v>
      </c>
    </row>
    <row r="82" spans="1:20" x14ac:dyDescent="0.3">
      <c r="A82">
        <v>2015.1</v>
      </c>
      <c r="B82" s="2">
        <v>36339</v>
      </c>
      <c r="C82" s="4">
        <f t="shared" si="35"/>
        <v>0.92669143692128009</v>
      </c>
      <c r="E82" s="3"/>
      <c r="F82" s="4"/>
      <c r="I82" s="5">
        <v>36630.44735136869</v>
      </c>
      <c r="L82" s="3"/>
      <c r="M82" s="3"/>
      <c r="N82" s="3"/>
      <c r="O82" s="3"/>
      <c r="P82" s="3">
        <f t="shared" si="34"/>
        <v>42803.273254840555</v>
      </c>
      <c r="S82" s="3"/>
    </row>
    <row r="83" spans="1:20" x14ac:dyDescent="0.3">
      <c r="A83">
        <v>2015.1999999999998</v>
      </c>
      <c r="B83" s="1">
        <v>38389.199999999997</v>
      </c>
      <c r="C83" s="4">
        <f t="shared" si="35"/>
        <v>1.0564187236852967</v>
      </c>
      <c r="E83" s="3"/>
      <c r="F83" s="4"/>
      <c r="I83" s="3">
        <f>I82*C83</f>
        <v>38697.090438954365</v>
      </c>
      <c r="L83" s="3"/>
      <c r="M83" s="3"/>
      <c r="N83" s="3"/>
      <c r="O83" s="3"/>
      <c r="P83" s="3">
        <f t="shared" si="34"/>
        <v>45218.17930143165</v>
      </c>
      <c r="S83" s="3"/>
    </row>
    <row r="84" spans="1:20" x14ac:dyDescent="0.3">
      <c r="A84">
        <v>2015.2999999999997</v>
      </c>
      <c r="B84" s="2">
        <v>39213</v>
      </c>
      <c r="C84" s="4">
        <f t="shared" si="35"/>
        <v>1.0214591603888594</v>
      </c>
      <c r="E84" s="3"/>
      <c r="F84" s="4"/>
      <c r="I84" s="3">
        <f t="shared" ref="I84:I121" si="44">I83*C84</f>
        <v>39527.497509266082</v>
      </c>
      <c r="L84" s="3"/>
      <c r="M84" s="3"/>
      <c r="N84" s="3"/>
      <c r="O84" s="3"/>
      <c r="P84" s="3">
        <f t="shared" si="34"/>
        <v>46188.523463553276</v>
      </c>
      <c r="S84" s="3"/>
    </row>
    <row r="85" spans="1:20" x14ac:dyDescent="0.3">
      <c r="A85">
        <v>2015.3999999999996</v>
      </c>
      <c r="B85" s="1">
        <v>39607.9</v>
      </c>
      <c r="C85" s="4">
        <f t="shared" si="35"/>
        <v>1.0100706398388291</v>
      </c>
      <c r="E85" s="3">
        <f t="shared" ref="E85" si="45">SUM(B82:B85)</f>
        <v>153549.1</v>
      </c>
      <c r="F85" s="4">
        <f t="shared" ref="F85" si="46">E85/E81</f>
        <v>1.0000709921048963</v>
      </c>
      <c r="I85" s="3">
        <f t="shared" si="44"/>
        <v>39925.564700412113</v>
      </c>
      <c r="K85" s="3">
        <f>SUM(I82:I85)</f>
        <v>154780.60000000126</v>
      </c>
      <c r="L85" s="3">
        <v>154780.6</v>
      </c>
      <c r="M85" s="3">
        <f>K85-L85</f>
        <v>1.2514647096395493E-9</v>
      </c>
      <c r="N85" s="3"/>
      <c r="O85" s="3"/>
      <c r="P85" s="3">
        <f t="shared" si="34"/>
        <v>46653.671448042027</v>
      </c>
      <c r="R85" s="3">
        <f>SUM(P82:P85)</f>
        <v>180863.64746786753</v>
      </c>
      <c r="S85" s="3">
        <f>S89/F89</f>
        <v>180863.64746786741</v>
      </c>
      <c r="T85" s="3">
        <f>R85-S85</f>
        <v>0</v>
      </c>
    </row>
    <row r="86" spans="1:20" x14ac:dyDescent="0.3">
      <c r="A86">
        <v>2016.1</v>
      </c>
      <c r="B86" s="1">
        <v>35827.800000000003</v>
      </c>
      <c r="C86" s="4">
        <f t="shared" si="35"/>
        <v>0.90456196869816374</v>
      </c>
      <c r="E86" s="3"/>
      <c r="F86" s="4"/>
      <c r="I86" s="3">
        <f t="shared" si="44"/>
        <v>36115.147406790697</v>
      </c>
      <c r="L86" s="3"/>
      <c r="M86" s="3"/>
      <c r="N86" s="3"/>
      <c r="O86" s="3"/>
      <c r="P86" s="3">
        <f t="shared" si="34"/>
        <v>42201.136892038208</v>
      </c>
      <c r="S86" s="3"/>
    </row>
    <row r="87" spans="1:20" x14ac:dyDescent="0.3">
      <c r="A87">
        <v>2016.1999999999998</v>
      </c>
      <c r="B87" s="1">
        <v>38135.800000000003</v>
      </c>
      <c r="C87" s="4">
        <f t="shared" si="35"/>
        <v>1.0644192498562568</v>
      </c>
      <c r="E87" s="3"/>
      <c r="F87" s="4"/>
      <c r="I87" s="3">
        <f t="shared" si="44"/>
        <v>38441.65811118429</v>
      </c>
      <c r="L87" s="3"/>
      <c r="M87" s="3"/>
      <c r="N87" s="3"/>
      <c r="O87" s="3"/>
      <c r="P87" s="3">
        <f t="shared" si="34"/>
        <v>44919.702473704514</v>
      </c>
      <c r="S87" s="3"/>
    </row>
    <row r="88" spans="1:20" x14ac:dyDescent="0.3">
      <c r="A88">
        <v>2016.2999999999997</v>
      </c>
      <c r="B88" s="1">
        <v>39840.199999999997</v>
      </c>
      <c r="C88" s="4">
        <f t="shared" si="35"/>
        <v>1.0446929132206482</v>
      </c>
      <c r="E88" s="3"/>
      <c r="F88" s="4"/>
      <c r="I88" s="3">
        <f t="shared" si="44"/>
        <v>40159.727801205278</v>
      </c>
      <c r="L88" s="3"/>
      <c r="M88" s="3"/>
      <c r="N88" s="3"/>
      <c r="O88" s="3"/>
      <c r="P88" s="3">
        <f t="shared" si="34"/>
        <v>46927.294838259128</v>
      </c>
      <c r="S88" s="3"/>
    </row>
    <row r="89" spans="1:20" x14ac:dyDescent="0.3">
      <c r="A89">
        <v>2016.3999999999996</v>
      </c>
      <c r="B89" s="1">
        <v>39212.5</v>
      </c>
      <c r="C89" s="4">
        <f t="shared" si="35"/>
        <v>0.98424455700523594</v>
      </c>
      <c r="E89" s="3">
        <f t="shared" ref="E89" si="47">SUM(B86:B89)</f>
        <v>153016.29999999999</v>
      </c>
      <c r="F89" s="4">
        <f t="shared" ref="F89" si="48">E89/E85</f>
        <v>0.99653010014386267</v>
      </c>
      <c r="I89" s="3">
        <f t="shared" si="44"/>
        <v>39526.99349914815</v>
      </c>
      <c r="K89" s="3">
        <f>SUM(I86:I89)</f>
        <v>154243.52681832839</v>
      </c>
      <c r="L89" s="3">
        <f>L85*F89</f>
        <v>154243.52681832717</v>
      </c>
      <c r="M89" s="3">
        <f>K89-L89</f>
        <v>1.2223608791828156E-9</v>
      </c>
      <c r="N89" s="3"/>
      <c r="O89" s="3"/>
      <c r="P89" s="3">
        <f t="shared" si="34"/>
        <v>46187.934519536451</v>
      </c>
      <c r="R89" s="3">
        <f>SUM(P86:P89)</f>
        <v>180236.06872353831</v>
      </c>
      <c r="S89" s="3">
        <f>S93/F93</f>
        <v>180236.06872353819</v>
      </c>
      <c r="T89" s="3">
        <f>R89-S89</f>
        <v>0</v>
      </c>
    </row>
    <row r="90" spans="1:20" x14ac:dyDescent="0.3">
      <c r="A90">
        <v>2017.1</v>
      </c>
      <c r="B90" s="1">
        <v>36461.199999999997</v>
      </c>
      <c r="C90" s="4">
        <f t="shared" si="35"/>
        <v>0.92983614918712143</v>
      </c>
      <c r="E90" s="3"/>
      <c r="F90" s="4"/>
      <c r="I90" s="3">
        <f t="shared" si="44"/>
        <v>36753.627424192295</v>
      </c>
      <c r="L90" s="3"/>
      <c r="M90" s="3"/>
      <c r="N90" s="3"/>
      <c r="O90" s="3"/>
      <c r="P90" s="3">
        <f t="shared" si="34"/>
        <v>42947.211172552692</v>
      </c>
      <c r="S90" s="3"/>
    </row>
    <row r="91" spans="1:20" x14ac:dyDescent="0.3">
      <c r="A91">
        <v>2017.1999999999998</v>
      </c>
      <c r="B91" s="1">
        <v>38853.9</v>
      </c>
      <c r="C91" s="4">
        <f t="shared" si="35"/>
        <v>1.0656231830000111</v>
      </c>
      <c r="E91" s="3"/>
      <c r="F91" s="4"/>
      <c r="I91" s="3">
        <f t="shared" si="44"/>
        <v>39165.517442564291</v>
      </c>
      <c r="L91" s="3"/>
      <c r="M91" s="3"/>
      <c r="N91" s="3"/>
      <c r="O91" s="3"/>
      <c r="P91" s="3">
        <f t="shared" si="34"/>
        <v>45765.543870669237</v>
      </c>
      <c r="S91" s="3"/>
    </row>
    <row r="92" spans="1:20" x14ac:dyDescent="0.3">
      <c r="A92">
        <v>2017.2999999999997</v>
      </c>
      <c r="B92" s="1">
        <v>41710.199999999997</v>
      </c>
      <c r="C92" s="4">
        <f t="shared" si="35"/>
        <v>1.0735138557519321</v>
      </c>
      <c r="E92" s="3"/>
      <c r="F92" s="4"/>
      <c r="I92" s="3">
        <f t="shared" si="44"/>
        <v>42044.725642286743</v>
      </c>
      <c r="L92" s="3"/>
      <c r="M92" s="3"/>
      <c r="N92" s="3"/>
      <c r="O92" s="3"/>
      <c r="P92" s="3">
        <f t="shared" si="34"/>
        <v>49129.94546118634</v>
      </c>
      <c r="S92" s="3"/>
    </row>
    <row r="93" spans="1:20" x14ac:dyDescent="0.3">
      <c r="A93">
        <v>2017.3999999999996</v>
      </c>
      <c r="B93" s="1">
        <v>39427.9</v>
      </c>
      <c r="C93" s="4">
        <f t="shared" si="35"/>
        <v>0.94528196939837272</v>
      </c>
      <c r="E93" s="3">
        <f t="shared" ref="E93" si="49">SUM(B90:B93)</f>
        <v>156453.20000000001</v>
      </c>
      <c r="F93" s="4">
        <f t="shared" ref="F93" si="50">E93/E89</f>
        <v>1.0224610057882724</v>
      </c>
      <c r="I93" s="3">
        <f t="shared" si="44"/>
        <v>39744.121057955075</v>
      </c>
      <c r="K93" s="3">
        <f>SUM(I90:I93)</f>
        <v>157707.99156699842</v>
      </c>
      <c r="L93" s="3">
        <f>L89*F93</f>
        <v>157707.99156699717</v>
      </c>
      <c r="M93" s="3">
        <f>K93-L93</f>
        <v>1.2514647096395493E-9</v>
      </c>
      <c r="N93" s="3"/>
      <c r="O93" s="3"/>
      <c r="P93" s="3">
        <f t="shared" si="34"/>
        <v>46441.651601984864</v>
      </c>
      <c r="R93" s="3">
        <f>SUM(P90:P93)</f>
        <v>184284.35210639314</v>
      </c>
      <c r="S93" s="3">
        <f>S97/F97</f>
        <v>184284.35210639305</v>
      </c>
      <c r="T93" s="3">
        <f>R93-S93</f>
        <v>0</v>
      </c>
    </row>
    <row r="94" spans="1:20" x14ac:dyDescent="0.3">
      <c r="A94">
        <v>2018.1</v>
      </c>
      <c r="B94" s="1">
        <v>36925.1</v>
      </c>
      <c r="C94" s="4">
        <f t="shared" si="35"/>
        <v>0.93652210744168463</v>
      </c>
      <c r="E94" s="3"/>
      <c r="F94" s="4"/>
      <c r="I94" s="3">
        <f t="shared" si="44"/>
        <v>37221.248011613527</v>
      </c>
      <c r="L94" s="3"/>
      <c r="M94" s="3"/>
      <c r="N94" s="3"/>
      <c r="O94" s="3"/>
      <c r="P94" s="3">
        <f t="shared" si="34"/>
        <v>43493.633431363356</v>
      </c>
      <c r="S94" s="3"/>
    </row>
    <row r="95" spans="1:20" x14ac:dyDescent="0.3">
      <c r="A95">
        <v>2018.1999999999998</v>
      </c>
      <c r="B95" s="1">
        <v>39815.300000000003</v>
      </c>
      <c r="C95" s="4">
        <f t="shared" si="35"/>
        <v>1.0782719613487846</v>
      </c>
      <c r="E95" s="3"/>
      <c r="F95" s="4"/>
      <c r="I95" s="3">
        <f t="shared" si="44"/>
        <v>40134.628097332068</v>
      </c>
      <c r="L95" s="3"/>
      <c r="M95" s="3"/>
      <c r="N95" s="3"/>
      <c r="O95" s="3"/>
      <c r="P95" s="3">
        <f t="shared" si="34"/>
        <v>46897.965426221235</v>
      </c>
      <c r="S95" s="3"/>
    </row>
    <row r="96" spans="1:20" x14ac:dyDescent="0.3">
      <c r="A96">
        <v>2018.2999999999997</v>
      </c>
      <c r="B96" s="1">
        <v>42186.3</v>
      </c>
      <c r="C96" s="4">
        <f t="shared" si="35"/>
        <v>1.05954997199569</v>
      </c>
      <c r="E96" s="3"/>
      <c r="F96" s="4"/>
      <c r="I96" s="3">
        <f t="shared" si="44"/>
        <v>42524.644076585624</v>
      </c>
      <c r="L96" s="3"/>
      <c r="M96" s="3"/>
      <c r="N96" s="3"/>
      <c r="O96" s="3"/>
      <c r="P96" s="3">
        <f t="shared" si="34"/>
        <v>49690.737954007549</v>
      </c>
      <c r="S96" s="3"/>
    </row>
    <row r="97" spans="1:20" x14ac:dyDescent="0.3">
      <c r="A97">
        <v>2018.3999999999996</v>
      </c>
      <c r="B97" s="1">
        <v>40226.9</v>
      </c>
      <c r="C97" s="4">
        <f t="shared" si="35"/>
        <v>0.95355364182210811</v>
      </c>
      <c r="E97" s="3">
        <f t="shared" ref="E97" si="51">SUM(B94:B97)</f>
        <v>159153.60000000001</v>
      </c>
      <c r="F97" s="4">
        <f t="shared" ref="F97" si="52">E97/E93</f>
        <v>1.0172601135675077</v>
      </c>
      <c r="I97" s="3">
        <f t="shared" si="44"/>
        <v>40549.529226417158</v>
      </c>
      <c r="K97" s="3">
        <f>SUM(I94:I97)</f>
        <v>160430.04941194836</v>
      </c>
      <c r="L97" s="3">
        <f>L93*F97</f>
        <v>160430.04941194708</v>
      </c>
      <c r="M97" s="3">
        <f>K97-L97</f>
        <v>1.280568540096283E-9</v>
      </c>
      <c r="N97" s="3"/>
      <c r="O97" s="3"/>
      <c r="P97" s="3">
        <f t="shared" si="34"/>
        <v>47382.784140871947</v>
      </c>
      <c r="R97" s="3">
        <f>SUM(P94:P97)</f>
        <v>187465.12095246409</v>
      </c>
      <c r="S97" s="3">
        <f>S101/F101</f>
        <v>187465.12095246397</v>
      </c>
      <c r="T97" s="3">
        <f>R97-S97</f>
        <v>0</v>
      </c>
    </row>
    <row r="98" spans="1:20" x14ac:dyDescent="0.3">
      <c r="A98">
        <v>2019.1</v>
      </c>
      <c r="B98" s="1">
        <v>37242.6</v>
      </c>
      <c r="C98" s="4">
        <f t="shared" si="35"/>
        <v>0.92581332392006332</v>
      </c>
      <c r="E98" s="3"/>
      <c r="F98" s="4"/>
      <c r="I98" s="3">
        <f t="shared" si="44"/>
        <v>37541.294436503027</v>
      </c>
      <c r="L98" s="3"/>
      <c r="M98" s="3"/>
      <c r="N98" s="3"/>
      <c r="O98" s="3"/>
      <c r="P98" s="3">
        <f t="shared" si="34"/>
        <v>43867.612882047521</v>
      </c>
      <c r="S98" s="3"/>
    </row>
    <row r="99" spans="1:20" x14ac:dyDescent="0.3">
      <c r="A99">
        <v>2019.1999999999998</v>
      </c>
      <c r="B99" s="1">
        <v>40725.699999999997</v>
      </c>
      <c r="C99" s="4">
        <f t="shared" si="35"/>
        <v>1.0935246196559854</v>
      </c>
      <c r="E99" s="3"/>
      <c r="F99" s="4"/>
      <c r="I99" s="3">
        <f t="shared" si="44"/>
        <v>41052.329720070331</v>
      </c>
      <c r="L99" s="3"/>
      <c r="M99" s="3"/>
      <c r="N99" s="3"/>
      <c r="O99" s="3"/>
      <c r="P99" s="3">
        <f t="shared" ref="P99:P117" si="53">P100/C100</f>
        <v>47970.314692057022</v>
      </c>
      <c r="S99" s="3"/>
    </row>
    <row r="100" spans="1:20" x14ac:dyDescent="0.3">
      <c r="A100">
        <v>2019.2999999999997</v>
      </c>
      <c r="B100" s="1">
        <v>43436.7</v>
      </c>
      <c r="C100" s="4">
        <f t="shared" si="35"/>
        <v>1.0665673027105733</v>
      </c>
      <c r="E100" s="3"/>
      <c r="F100" s="4"/>
      <c r="I100" s="3">
        <f t="shared" si="44"/>
        <v>43785.072579520522</v>
      </c>
      <c r="L100" s="3"/>
      <c r="M100" s="3"/>
      <c r="N100" s="3"/>
      <c r="O100" s="3"/>
      <c r="P100" s="3">
        <f t="shared" si="53"/>
        <v>51163.569151284646</v>
      </c>
      <c r="S100" s="3"/>
    </row>
    <row r="101" spans="1:20" x14ac:dyDescent="0.3">
      <c r="A101">
        <v>2019.3999999999996</v>
      </c>
      <c r="B101" s="1">
        <v>40568.5</v>
      </c>
      <c r="C101" s="4">
        <f t="shared" si="35"/>
        <v>0.93396828027911882</v>
      </c>
      <c r="E101" s="3">
        <f t="shared" ref="E101" si="54">SUM(B98:B101)</f>
        <v>161973.5</v>
      </c>
      <c r="F101" s="4">
        <f t="shared" ref="F101" si="55">E101/E97</f>
        <v>1.0177181037689376</v>
      </c>
      <c r="I101" s="3">
        <f t="shared" si="44"/>
        <v>40893.868938991181</v>
      </c>
      <c r="K101" s="3">
        <f>SUM(I98:I101)</f>
        <v>163272.56567508506</v>
      </c>
      <c r="L101" s="3">
        <f>L97*F101</f>
        <v>163272.56567508375</v>
      </c>
      <c r="M101" s="3">
        <f>K101-L101</f>
        <v>1.3096723705530167E-9</v>
      </c>
      <c r="N101" s="3"/>
      <c r="O101" s="3"/>
      <c r="P101" s="3">
        <f t="shared" si="53"/>
        <v>47785.150693167096</v>
      </c>
      <c r="R101" s="3">
        <f>SUM(P98:P101)</f>
        <v>190786.64741855627</v>
      </c>
      <c r="S101" s="3">
        <f>S105/F105</f>
        <v>190786.64741855615</v>
      </c>
      <c r="T101" s="3">
        <f>R101-S101</f>
        <v>0</v>
      </c>
    </row>
    <row r="102" spans="1:20" x14ac:dyDescent="0.3">
      <c r="A102">
        <v>2020.1</v>
      </c>
      <c r="B102" s="1">
        <v>36381.800000000003</v>
      </c>
      <c r="C102" s="4">
        <f t="shared" si="35"/>
        <v>0.8967992407902684</v>
      </c>
      <c r="E102" s="3"/>
      <c r="F102" s="4"/>
      <c r="I102" s="3">
        <f t="shared" si="44"/>
        <v>36673.590617464033</v>
      </c>
      <c r="L102" s="3"/>
      <c r="M102" s="3"/>
      <c r="N102" s="3"/>
      <c r="O102" s="3"/>
      <c r="P102" s="3">
        <f t="shared" si="53"/>
        <v>42853.686862680821</v>
      </c>
      <c r="S102" s="3"/>
    </row>
    <row r="103" spans="1:20" x14ac:dyDescent="0.3">
      <c r="A103">
        <v>2020.1999999999998</v>
      </c>
      <c r="B103" s="1">
        <v>34421.300000000003</v>
      </c>
      <c r="C103" s="4">
        <f t="shared" si="35"/>
        <v>0.94611316647334653</v>
      </c>
      <c r="E103" s="3"/>
      <c r="F103" s="4"/>
      <c r="I103" s="3">
        <f t="shared" si="44"/>
        <v>34697.366945036105</v>
      </c>
      <c r="L103" s="3"/>
      <c r="M103" s="3"/>
      <c r="N103" s="3"/>
      <c r="O103" s="3"/>
      <c r="P103" s="3">
        <f t="shared" si="53"/>
        <v>40544.437372708206</v>
      </c>
      <c r="S103" s="3"/>
    </row>
    <row r="104" spans="1:20" x14ac:dyDescent="0.3">
      <c r="A104">
        <v>2020.2999999999997</v>
      </c>
      <c r="B104" s="2">
        <v>38977</v>
      </c>
      <c r="C104" s="4">
        <f t="shared" si="35"/>
        <v>1.1323511895250904</v>
      </c>
      <c r="E104" s="3"/>
      <c r="F104" s="4"/>
      <c r="I104" s="3">
        <f t="shared" si="44"/>
        <v>39289.604733600187</v>
      </c>
      <c r="L104" s="3"/>
      <c r="M104" s="3"/>
      <c r="N104" s="3"/>
      <c r="O104" s="3"/>
      <c r="P104" s="3">
        <f t="shared" si="53"/>
        <v>45910.541887611667</v>
      </c>
      <c r="S104" s="3"/>
    </row>
    <row r="105" spans="1:20" x14ac:dyDescent="0.3">
      <c r="A105">
        <v>2020.3999999999996</v>
      </c>
      <c r="B105" s="1">
        <v>37456.199999999997</v>
      </c>
      <c r="C105" s="4">
        <f t="shared" si="35"/>
        <v>0.96098211765913222</v>
      </c>
      <c r="E105" s="3">
        <f t="shared" ref="E105" si="56">SUM(B102:B105)</f>
        <v>147236.29999999999</v>
      </c>
      <c r="F105" s="4">
        <f t="shared" ref="F105" si="57">E105/E101</f>
        <v>0.90901474623935385</v>
      </c>
      <c r="I105" s="3">
        <f t="shared" si="44"/>
        <v>37756.607558885371</v>
      </c>
      <c r="K105" s="3">
        <f>SUM(I102:I105)</f>
        <v>148417.16985498572</v>
      </c>
      <c r="L105" s="3">
        <f>L101*F105</f>
        <v>148417.1698549845</v>
      </c>
      <c r="M105" s="3">
        <f>K105-L105</f>
        <v>1.2223608791828156E-9</v>
      </c>
      <c r="N105" s="3"/>
      <c r="O105" s="3"/>
      <c r="P105" s="3">
        <f t="shared" si="53"/>
        <v>44119.209766035354</v>
      </c>
      <c r="R105" s="3">
        <f>SUM(P102:P105)</f>
        <v>173427.87588903605</v>
      </c>
      <c r="S105" s="3">
        <f>S109/F109</f>
        <v>173427.8758890359</v>
      </c>
      <c r="T105" s="3">
        <f>R105-S105</f>
        <v>0</v>
      </c>
    </row>
    <row r="106" spans="1:20" x14ac:dyDescent="0.3">
      <c r="A106">
        <v>2021.1</v>
      </c>
      <c r="B106" s="1">
        <v>35806.800000000003</v>
      </c>
      <c r="C106" s="4">
        <f t="shared" si="35"/>
        <v>0.95596456661380502</v>
      </c>
      <c r="E106" s="3"/>
      <c r="F106" s="4"/>
      <c r="I106" s="3">
        <f t="shared" si="44"/>
        <v>36093.978981837368</v>
      </c>
      <c r="L106" s="3"/>
      <c r="M106" s="3"/>
      <c r="N106" s="3"/>
      <c r="O106" s="3"/>
      <c r="P106" s="3">
        <f t="shared" si="53"/>
        <v>42176.401243331544</v>
      </c>
      <c r="S106" s="3"/>
    </row>
    <row r="107" spans="1:20" x14ac:dyDescent="0.3">
      <c r="A107">
        <v>2021.1999999999998</v>
      </c>
      <c r="B107" s="2">
        <v>38839</v>
      </c>
      <c r="C107" s="4">
        <f t="shared" si="35"/>
        <v>1.0846822391277633</v>
      </c>
      <c r="E107" s="3"/>
      <c r="F107" s="4"/>
      <c r="I107" s="3">
        <f t="shared" si="44"/>
        <v>39150.497941049784</v>
      </c>
      <c r="L107" s="3"/>
      <c r="M107" s="3"/>
      <c r="N107" s="3"/>
      <c r="O107" s="3"/>
      <c r="P107" s="3">
        <f t="shared" si="53"/>
        <v>45747.993338967841</v>
      </c>
      <c r="S107" s="3"/>
    </row>
    <row r="108" spans="1:20" x14ac:dyDescent="0.3">
      <c r="A108">
        <v>2021.2999999999997</v>
      </c>
      <c r="B108" s="1">
        <v>43570.7</v>
      </c>
      <c r="C108" s="4">
        <f t="shared" si="35"/>
        <v>1.1218285743711218</v>
      </c>
      <c r="E108" s="3"/>
      <c r="F108" s="4"/>
      <c r="I108" s="3">
        <f t="shared" si="44"/>
        <v>43920.147291127418</v>
      </c>
      <c r="L108" s="3"/>
      <c r="M108" s="3"/>
      <c r="N108" s="3"/>
      <c r="O108" s="3"/>
      <c r="P108" s="3">
        <f t="shared" si="53"/>
        <v>51321.406147793867</v>
      </c>
      <c r="S108" s="3"/>
    </row>
    <row r="109" spans="1:20" x14ac:dyDescent="0.3">
      <c r="A109">
        <v>2021.3999999999996</v>
      </c>
      <c r="B109" s="1">
        <v>40982.9</v>
      </c>
      <c r="C109" s="4">
        <f t="shared" si="35"/>
        <v>0.94060687572152857</v>
      </c>
      <c r="E109" s="3">
        <f t="shared" ref="E109" si="58">SUM(B106:B109)</f>
        <v>159199.4</v>
      </c>
      <c r="F109" s="4">
        <f t="shared" ref="F109" si="59">E109/E105</f>
        <v>1.0812510230153842</v>
      </c>
      <c r="I109" s="3">
        <f t="shared" si="44"/>
        <v>41311.592524736719</v>
      </c>
      <c r="K109" s="3">
        <f>SUM(I106:I109)</f>
        <v>160476.21673875127</v>
      </c>
      <c r="L109" s="3">
        <f>L105*F109</f>
        <v>160476.21673875005</v>
      </c>
      <c r="M109" s="3">
        <f>K109-L109</f>
        <v>1.2223608791828156E-9</v>
      </c>
      <c r="N109" s="3"/>
      <c r="O109" s="3"/>
      <c r="P109" s="3">
        <f t="shared" si="53"/>
        <v>48273.267494312036</v>
      </c>
      <c r="R109" s="3">
        <f>SUM(P106:P109)</f>
        <v>187519.06822440529</v>
      </c>
      <c r="S109" s="3">
        <f>S113/F113</f>
        <v>187519.06822440517</v>
      </c>
      <c r="T109" s="3">
        <f>R109-S109</f>
        <v>0</v>
      </c>
    </row>
    <row r="110" spans="1:20" x14ac:dyDescent="0.3">
      <c r="A110">
        <v>2022.1</v>
      </c>
      <c r="B110" s="2">
        <v>38041</v>
      </c>
      <c r="C110" s="4">
        <f t="shared" si="35"/>
        <v>0.92821640245077819</v>
      </c>
      <c r="E110" s="3"/>
      <c r="F110" s="4"/>
      <c r="I110" s="3">
        <f t="shared" si="44"/>
        <v>38346.097792823581</v>
      </c>
      <c r="L110" s="3"/>
      <c r="M110" s="3"/>
      <c r="N110" s="3"/>
      <c r="O110" s="3"/>
      <c r="P110" s="3">
        <f t="shared" si="53"/>
        <v>44808.038688114408</v>
      </c>
      <c r="S110" s="3"/>
    </row>
    <row r="111" spans="1:20" x14ac:dyDescent="0.3">
      <c r="A111">
        <v>2022.1999999999998</v>
      </c>
      <c r="B111" s="2">
        <v>41380</v>
      </c>
      <c r="C111" s="4">
        <f t="shared" si="35"/>
        <v>1.0877737178307616</v>
      </c>
      <c r="E111" s="3"/>
      <c r="F111" s="4"/>
      <c r="I111" s="3">
        <f t="shared" si="44"/>
        <v>41711.877360401668</v>
      </c>
      <c r="L111" s="3"/>
      <c r="M111" s="3"/>
      <c r="N111" s="3"/>
      <c r="O111" s="3"/>
      <c r="P111" s="3">
        <f t="shared" si="53"/>
        <v>48741.006832474814</v>
      </c>
      <c r="S111" s="3"/>
    </row>
    <row r="112" spans="1:20" x14ac:dyDescent="0.3">
      <c r="A112">
        <v>2022.2999999999997</v>
      </c>
      <c r="B112" s="1">
        <v>45546.1</v>
      </c>
      <c r="C112" s="4">
        <f t="shared" si="35"/>
        <v>1.1006790720154664</v>
      </c>
      <c r="E112" s="3"/>
      <c r="F112" s="4"/>
      <c r="I112" s="3">
        <f t="shared" si="44"/>
        <v>45911.390465069853</v>
      </c>
      <c r="L112" s="3"/>
      <c r="M112" s="3"/>
      <c r="N112" s="3"/>
      <c r="O112" s="3"/>
      <c r="P112" s="3">
        <f t="shared" si="53"/>
        <v>53648.206169467885</v>
      </c>
      <c r="S112" s="3"/>
    </row>
    <row r="113" spans="1:20" x14ac:dyDescent="0.3">
      <c r="A113">
        <v>2022.3999999999996</v>
      </c>
      <c r="B113" s="1">
        <v>42662.9</v>
      </c>
      <c r="C113" s="4">
        <f t="shared" si="35"/>
        <v>0.93669710469172995</v>
      </c>
      <c r="E113" s="3">
        <f t="shared" ref="E113" si="60">SUM(B110:B113)</f>
        <v>167630</v>
      </c>
      <c r="F113" s="4">
        <f t="shared" ref="F113" si="61">E113/E109</f>
        <v>1.0529562297345343</v>
      </c>
      <c r="I113" s="3">
        <f t="shared" si="44"/>
        <v>43005.066521002431</v>
      </c>
      <c r="K113" s="3">
        <f>SUM(I110:I113)</f>
        <v>168974.43213929754</v>
      </c>
      <c r="L113" s="3">
        <f>L109*F113</f>
        <v>168974.43213929623</v>
      </c>
      <c r="M113" s="3">
        <f>K113-L113</f>
        <v>1.3096723705530167E-9</v>
      </c>
      <c r="N113" s="3"/>
      <c r="O113" s="3"/>
      <c r="P113" s="3">
        <f t="shared" si="53"/>
        <v>50252.119390845575</v>
      </c>
      <c r="R113" s="3">
        <f>SUM(P110:P113)</f>
        <v>197449.3710809027</v>
      </c>
      <c r="S113" s="3">
        <f>S117/F117</f>
        <v>197449.37108090258</v>
      </c>
      <c r="T113" s="3">
        <f>R113-S113</f>
        <v>0</v>
      </c>
    </row>
    <row r="114" spans="1:20" x14ac:dyDescent="0.3">
      <c r="A114">
        <v>2023.1</v>
      </c>
      <c r="B114" s="1">
        <v>39171.5</v>
      </c>
      <c r="C114" s="4">
        <f t="shared" si="35"/>
        <v>0.91816308783509792</v>
      </c>
      <c r="E114" s="3"/>
      <c r="F114" s="4"/>
      <c r="I114" s="3">
        <f t="shared" si="44"/>
        <v>39485.664669477381</v>
      </c>
      <c r="L114" s="3"/>
      <c r="M114" s="3"/>
      <c r="N114" s="3"/>
      <c r="O114" s="3"/>
      <c r="P114" s="3">
        <f t="shared" si="53"/>
        <v>46139.641110156772</v>
      </c>
      <c r="S114" s="3"/>
    </row>
    <row r="115" spans="1:20" x14ac:dyDescent="0.3">
      <c r="A115">
        <v>2023.1999999999998</v>
      </c>
      <c r="B115" s="1">
        <v>42380.5</v>
      </c>
      <c r="C115" s="4">
        <f t="shared" si="35"/>
        <v>1.0819218053942279</v>
      </c>
      <c r="E115" s="3"/>
      <c r="F115" s="4"/>
      <c r="I115" s="3">
        <f t="shared" si="44"/>
        <v>42720.40160639205</v>
      </c>
      <c r="L115" s="3"/>
      <c r="M115" s="3"/>
      <c r="N115" s="3"/>
      <c r="O115" s="3"/>
      <c r="P115" s="3">
        <f t="shared" si="53"/>
        <v>49919.483810142548</v>
      </c>
      <c r="S115" s="3"/>
    </row>
    <row r="116" spans="1:20" x14ac:dyDescent="0.3">
      <c r="A116">
        <v>2023.2999999999997</v>
      </c>
      <c r="B116" s="1">
        <v>46146.6</v>
      </c>
      <c r="C116" s="4">
        <f t="shared" si="35"/>
        <v>1.0888639822559902</v>
      </c>
      <c r="E116" s="3"/>
      <c r="F116" s="4"/>
      <c r="I116" s="3">
        <f t="shared" si="44"/>
        <v>46516.70661671125</v>
      </c>
      <c r="L116" s="3"/>
      <c r="M116" s="3"/>
      <c r="N116" s="3"/>
      <c r="O116" s="3"/>
      <c r="P116" s="3">
        <f t="shared" si="53"/>
        <v>54355.52793367525</v>
      </c>
      <c r="S116" s="3"/>
    </row>
    <row r="117" spans="1:20" x14ac:dyDescent="0.3">
      <c r="A117">
        <v>2023.3999999999996</v>
      </c>
      <c r="B117" s="1">
        <v>43621.8</v>
      </c>
      <c r="C117" s="4">
        <f t="shared" si="35"/>
        <v>0.94528741012338946</v>
      </c>
      <c r="E117" s="3">
        <f t="shared" ref="E117" si="62">SUM(B114:B117)</f>
        <v>171320.40000000002</v>
      </c>
      <c r="F117" s="4">
        <f t="shared" ref="F117" si="63">E117/E113</f>
        <v>1.0220151524190182</v>
      </c>
      <c r="I117" s="3">
        <f t="shared" si="44"/>
        <v>43971.657125180514</v>
      </c>
      <c r="K117" s="3">
        <f>SUM(I114:I117)</f>
        <v>172694.43001776119</v>
      </c>
      <c r="L117" s="3">
        <f>L113*F117</f>
        <v>172694.43001775988</v>
      </c>
      <c r="M117" s="3">
        <f>K117-L117</f>
        <v>1.3096723705530167E-9</v>
      </c>
      <c r="N117" s="3"/>
      <c r="O117" s="3"/>
      <c r="P117" s="3">
        <f t="shared" si="53"/>
        <v>51381.596226313428</v>
      </c>
      <c r="R117" s="3">
        <f>SUM(P114:P117)</f>
        <v>201796.24908028799</v>
      </c>
      <c r="S117" s="3">
        <f>S121/F121</f>
        <v>201796.24908028793</v>
      </c>
      <c r="T117" s="3">
        <f>R117-S117</f>
        <v>0</v>
      </c>
    </row>
    <row r="118" spans="1:20" x14ac:dyDescent="0.3">
      <c r="A118">
        <v>2024.1</v>
      </c>
      <c r="B118" s="1">
        <v>39428.1</v>
      </c>
      <c r="C118" s="4">
        <f t="shared" si="35"/>
        <v>0.9038622890389667</v>
      </c>
      <c r="E118" s="3"/>
      <c r="F118" s="4"/>
      <c r="I118" s="3">
        <f t="shared" si="44"/>
        <v>39744.322662002247</v>
      </c>
      <c r="L118" s="3"/>
      <c r="M118" s="3"/>
      <c r="N118" s="3"/>
      <c r="O118" s="3"/>
      <c r="P118" s="5">
        <v>46441.887179591591</v>
      </c>
      <c r="S118" s="3"/>
    </row>
    <row r="119" spans="1:20" x14ac:dyDescent="0.3">
      <c r="A119">
        <v>2024.1999999999998</v>
      </c>
      <c r="B119" s="1">
        <v>43346.8</v>
      </c>
      <c r="C119" s="4">
        <f t="shared" si="35"/>
        <v>1.0993885071814267</v>
      </c>
      <c r="E119" s="3"/>
      <c r="F119" s="4"/>
      <c r="I119" s="3">
        <f t="shared" si="44"/>
        <v>43694.451560315596</v>
      </c>
      <c r="L119" s="3"/>
      <c r="M119" s="3"/>
      <c r="N119" s="3"/>
      <c r="O119" s="3"/>
      <c r="P119" s="3">
        <f>P118*C119</f>
        <v>51057.677017059439</v>
      </c>
      <c r="S119" s="3"/>
    </row>
    <row r="120" spans="1:20" x14ac:dyDescent="0.3">
      <c r="A120">
        <v>2024.2999999999997</v>
      </c>
      <c r="B120" s="2">
        <v>47054</v>
      </c>
      <c r="C120" s="4">
        <f t="shared" si="35"/>
        <v>1.0855241909437374</v>
      </c>
      <c r="E120" s="3"/>
      <c r="F120" s="4"/>
      <c r="I120" s="3">
        <f t="shared" si="44"/>
        <v>47431.384178741915</v>
      </c>
      <c r="L120" s="3"/>
      <c r="M120" s="3"/>
      <c r="N120" s="3"/>
      <c r="O120" s="3"/>
      <c r="P120" s="3">
        <f>P119*C120</f>
        <v>55424.343535410102</v>
      </c>
      <c r="S120" s="3"/>
    </row>
    <row r="121" spans="1:20" x14ac:dyDescent="0.3">
      <c r="A121">
        <v>2024.3999999999996</v>
      </c>
      <c r="B121" s="1">
        <v>44573.5</v>
      </c>
      <c r="C121" s="4">
        <f t="shared" si="35"/>
        <v>0.94728397160708977</v>
      </c>
      <c r="E121" s="3">
        <f t="shared" ref="E121" si="64">SUM(B118:B121)</f>
        <v>174402.4</v>
      </c>
      <c r="F121" s="4">
        <f t="shared" ref="F121" si="65">E121/E117</f>
        <v>1.0179896848244574</v>
      </c>
      <c r="I121" s="3">
        <f t="shared" si="44"/>
        <v>44930.989983660322</v>
      </c>
      <c r="K121" s="3">
        <f>SUM(I118:I121)</f>
        <v>175801.14838472009</v>
      </c>
      <c r="L121" s="3">
        <f>L117*F121</f>
        <v>175801.14838471869</v>
      </c>
      <c r="M121" s="3">
        <f>K121-L121</f>
        <v>1.3969838619232178E-9</v>
      </c>
      <c r="N121" s="3"/>
      <c r="O121" s="3"/>
      <c r="P121" s="3">
        <f>P120*C121</f>
        <v>52502.592267939013</v>
      </c>
      <c r="R121" s="3">
        <f>SUM(P118:P121)</f>
        <v>205426.50000000015</v>
      </c>
      <c r="S121" s="3">
        <v>205426.5</v>
      </c>
      <c r="T121" s="3">
        <f>R121-S121</f>
        <v>0</v>
      </c>
    </row>
    <row r="122" spans="1:20" x14ac:dyDescent="0.3">
      <c r="A122">
        <v>2025.1</v>
      </c>
      <c r="B122" s="1">
        <v>39798.699999999997</v>
      </c>
      <c r="C122" s="4">
        <f t="shared" si="35"/>
        <v>0.89287805534678666</v>
      </c>
      <c r="E122" s="3"/>
      <c r="F122" s="4"/>
      <c r="I122" s="3"/>
      <c r="L122" s="3"/>
      <c r="M122" s="3"/>
      <c r="N122" s="3"/>
      <c r="O122" s="3"/>
      <c r="P122" s="3"/>
      <c r="S122" s="3"/>
    </row>
    <row r="123" spans="1:20" x14ac:dyDescent="0.3">
      <c r="A123">
        <v>2025.1999999999998</v>
      </c>
      <c r="B123" s="1">
        <v>43956.5</v>
      </c>
      <c r="C123" s="4">
        <f t="shared" si="35"/>
        <v>1.1044707490445669</v>
      </c>
      <c r="E123" s="3"/>
      <c r="F123" s="4"/>
      <c r="I123" s="3"/>
      <c r="L123" s="3"/>
      <c r="M123" s="3"/>
      <c r="N123" s="3"/>
      <c r="O123" s="3"/>
      <c r="P123" s="3"/>
      <c r="S123" s="3"/>
    </row>
    <row r="124" spans="1:20" x14ac:dyDescent="0.3">
      <c r="P124" s="3"/>
      <c r="S12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BF66-5B96-49CD-AAB6-27ECD3A5B762}">
  <dimension ref="A1:I64"/>
  <sheetViews>
    <sheetView tabSelected="1" workbookViewId="0">
      <selection activeCell="M7" sqref="M7"/>
    </sheetView>
  </sheetViews>
  <sheetFormatPr defaultRowHeight="14.4" x14ac:dyDescent="0.3"/>
  <cols>
    <col min="2" max="2" width="10.77734375" bestFit="1" customWidth="1"/>
    <col min="3" max="3" width="15.33203125" customWidth="1"/>
    <col min="4" max="4" width="18.77734375" customWidth="1"/>
    <col min="9" max="9" width="16.88671875" customWidth="1"/>
  </cols>
  <sheetData>
    <row r="1" spans="1:9" ht="23.4" x14ac:dyDescent="0.45">
      <c r="A1" s="22" t="s">
        <v>7</v>
      </c>
      <c r="B1" s="22"/>
      <c r="C1" s="22"/>
      <c r="D1" s="22"/>
    </row>
    <row r="2" spans="1:9" x14ac:dyDescent="0.3">
      <c r="A2" t="s">
        <v>286</v>
      </c>
      <c r="B2" t="s">
        <v>285</v>
      </c>
      <c r="C2" t="s">
        <v>287</v>
      </c>
      <c r="D2" t="s">
        <v>288</v>
      </c>
      <c r="H2" t="s">
        <v>8</v>
      </c>
    </row>
    <row r="3" spans="1:9" x14ac:dyDescent="0.3">
      <c r="A3">
        <v>2010.1</v>
      </c>
      <c r="B3" s="3">
        <f>'GVA - ceny stałe 2015 i 2024'!P62</f>
        <v>54167.537003504571</v>
      </c>
      <c r="H3" t="s">
        <v>9</v>
      </c>
      <c r="I3" t="s">
        <v>10</v>
      </c>
    </row>
    <row r="4" spans="1:9" x14ac:dyDescent="0.3">
      <c r="A4">
        <v>2010.1999999999998</v>
      </c>
      <c r="B4" s="3">
        <f>'GVA - ceny stałe 2015 i 2024'!P63</f>
        <v>54942.822907253605</v>
      </c>
      <c r="C4">
        <f>B4-B3</f>
        <v>775.28590374903433</v>
      </c>
      <c r="D4">
        <f>C4-I5</f>
        <v>-1879.8734742791648</v>
      </c>
      <c r="G4" t="s">
        <v>11</v>
      </c>
      <c r="H4">
        <f>AVERAGE(C7,C11,C15,C19,C23,C27,C31,C35,C39,,C43,C47,C51,C55,C59,B63)</f>
        <v>-3579.6645549602545</v>
      </c>
      <c r="I4">
        <f>H4-$H$9</f>
        <v>-3509.5296659299142</v>
      </c>
    </row>
    <row r="5" spans="1:9" x14ac:dyDescent="0.3">
      <c r="A5">
        <v>2010.2999999999997</v>
      </c>
      <c r="B5" s="3">
        <f>'GVA - ceny stałe 2015 i 2024'!P64</f>
        <v>54050.572721763041</v>
      </c>
      <c r="C5">
        <f>B5-B4</f>
        <v>-892.25018549056404</v>
      </c>
      <c r="D5">
        <f>C5-I6</f>
        <v>-3505.5336807757503</v>
      </c>
      <c r="G5" t="s">
        <v>12</v>
      </c>
      <c r="H5">
        <f>AVERAGE(C4,C8,C12,C16,C20,C24,C28,C32,C36,C40,C44,C48,C52,C56,C60,C64)</f>
        <v>2585.024488997859</v>
      </c>
      <c r="I5">
        <f t="shared" ref="I5:I7" si="0">H5-$H$9</f>
        <v>2655.1593780281992</v>
      </c>
    </row>
    <row r="6" spans="1:9" x14ac:dyDescent="0.3">
      <c r="A6">
        <v>2010.3999999999996</v>
      </c>
      <c r="B6" s="3">
        <f>'GVA - ceny stałe 2015 i 2024'!P65</f>
        <v>54067.769887054346</v>
      </c>
      <c r="C6">
        <f t="shared" ref="C6:C62" si="1">B6-B5</f>
        <v>17.197165291305282</v>
      </c>
      <c r="D6">
        <f>C6-I7</f>
        <v>1776.110372674776</v>
      </c>
      <c r="G6" t="s">
        <v>13</v>
      </c>
      <c r="H6">
        <f>AVERAGE(C9,C13,C17,C21,C25,C29,C33,C37,C41,,C45,C49,C53,C57,C61,C5)</f>
        <v>2543.1486062548461</v>
      </c>
      <c r="I6">
        <f t="shared" si="0"/>
        <v>2613.2834952851863</v>
      </c>
    </row>
    <row r="7" spans="1:9" x14ac:dyDescent="0.3">
      <c r="A7">
        <v>2011.1</v>
      </c>
      <c r="B7" s="3">
        <f>'GVA - ceny stałe 2015 i 2024'!P66</f>
        <v>48812.975791330886</v>
      </c>
      <c r="C7">
        <f t="shared" si="1"/>
        <v>-5254.7940957234605</v>
      </c>
      <c r="D7">
        <f>C7-I4</f>
        <v>-1745.2644297935462</v>
      </c>
      <c r="G7" t="s">
        <v>14</v>
      </c>
      <c r="H7">
        <f>AVERAGE(C6,C10,C14,C18,C22,C26,C30,C34,C38,C42,C46,C50,C54,C58,C62)</f>
        <v>-1829.048096413811</v>
      </c>
      <c r="I7">
        <f t="shared" si="0"/>
        <v>-1758.9132073834708</v>
      </c>
    </row>
    <row r="8" spans="1:9" x14ac:dyDescent="0.3">
      <c r="A8">
        <v>2011.1999999999998</v>
      </c>
      <c r="B8" s="3">
        <f>'GVA - ceny stałe 2015 i 2024'!P67</f>
        <v>50570.502526341406</v>
      </c>
      <c r="C8">
        <f t="shared" si="1"/>
        <v>1757.5267350105205</v>
      </c>
      <c r="D8">
        <f>C8-I5</f>
        <v>-897.63264301767867</v>
      </c>
    </row>
    <row r="9" spans="1:9" x14ac:dyDescent="0.3">
      <c r="A9">
        <v>2011.2999999999997</v>
      </c>
      <c r="B9" s="3">
        <f>'GVA - ceny stałe 2015 i 2024'!P68</f>
        <v>50598.418472738944</v>
      </c>
      <c r="C9">
        <f t="shared" si="1"/>
        <v>27.915946397537482</v>
      </c>
      <c r="D9">
        <f>C9-I6</f>
        <v>-2585.3675488876488</v>
      </c>
      <c r="H9">
        <f>AVERAGE(H4:H7)</f>
        <v>-70.134889030340105</v>
      </c>
      <c r="I9">
        <f>SUM(I4:I7)</f>
        <v>0</v>
      </c>
    </row>
    <row r="10" spans="1:9" x14ac:dyDescent="0.3">
      <c r="A10">
        <v>2011.3999999999996</v>
      </c>
      <c r="B10" s="3">
        <f>'GVA - ceny stałe 2015 i 2024'!P69</f>
        <v>47968.31228239982</v>
      </c>
      <c r="C10">
        <f t="shared" si="1"/>
        <v>-2630.1061903391237</v>
      </c>
      <c r="D10">
        <f>C10-I7</f>
        <v>-871.19298295565295</v>
      </c>
    </row>
    <row r="11" spans="1:9" x14ac:dyDescent="0.3">
      <c r="A11">
        <v>2012.1</v>
      </c>
      <c r="B11" s="3">
        <f>'GVA - ceny stałe 2015 i 2024'!P70</f>
        <v>44522.754206364174</v>
      </c>
      <c r="C11">
        <f t="shared" si="1"/>
        <v>-3445.5580760356461</v>
      </c>
      <c r="D11">
        <f>C11-I4</f>
        <v>63.971589894268163</v>
      </c>
    </row>
    <row r="12" spans="1:9" x14ac:dyDescent="0.3">
      <c r="A12">
        <v>2012.1999999999998</v>
      </c>
      <c r="B12" s="3">
        <f>'GVA - ceny stałe 2015 i 2024'!P71</f>
        <v>46145.17718391493</v>
      </c>
      <c r="C12">
        <f t="shared" si="1"/>
        <v>1622.4229775507556</v>
      </c>
      <c r="D12">
        <f>C12-I5</f>
        <v>-1032.7364004774436</v>
      </c>
    </row>
    <row r="13" spans="1:9" x14ac:dyDescent="0.3">
      <c r="A13">
        <v>2012.2999999999997</v>
      </c>
      <c r="B13" s="3">
        <f>'GVA - ceny stałe 2015 i 2024'!P72</f>
        <v>46941.429494662945</v>
      </c>
      <c r="C13">
        <f t="shared" si="1"/>
        <v>796.25231074801559</v>
      </c>
      <c r="D13">
        <f>C13-I6</f>
        <v>-1817.0311845371707</v>
      </c>
    </row>
    <row r="14" spans="1:9" x14ac:dyDescent="0.3">
      <c r="A14">
        <v>2012.3999999999996</v>
      </c>
      <c r="B14" s="3">
        <f>'GVA - ceny stałe 2015 i 2024'!P73</f>
        <v>46091.465489580449</v>
      </c>
      <c r="C14">
        <f t="shared" si="1"/>
        <v>-849.96400508249644</v>
      </c>
      <c r="D14">
        <f>C14-I7</f>
        <v>908.94920230097432</v>
      </c>
    </row>
    <row r="15" spans="1:9" x14ac:dyDescent="0.3">
      <c r="A15">
        <v>2013.1</v>
      </c>
      <c r="B15" s="3">
        <f>'GVA - ceny stałe 2015 i 2024'!P74</f>
        <v>42101.13419798125</v>
      </c>
      <c r="C15">
        <f t="shared" si="1"/>
        <v>-3990.3312915991992</v>
      </c>
      <c r="D15">
        <f>C15-I4</f>
        <v>-480.80162566928493</v>
      </c>
    </row>
    <row r="16" spans="1:9" x14ac:dyDescent="0.3">
      <c r="A16">
        <v>2013.1999999999998</v>
      </c>
      <c r="B16" s="3">
        <f>'GVA - ceny stałe 2015 i 2024'!P75</f>
        <v>45020.765266991766</v>
      </c>
      <c r="C16">
        <f t="shared" si="1"/>
        <v>2919.6310690105165</v>
      </c>
      <c r="D16">
        <f>C16-I5</f>
        <v>264.47169098231734</v>
      </c>
    </row>
    <row r="17" spans="1:4" x14ac:dyDescent="0.3">
      <c r="A17">
        <v>2013.2999999999997</v>
      </c>
      <c r="B17" s="3">
        <f>'GVA - ceny stałe 2015 i 2024'!P76</f>
        <v>46948.025667651396</v>
      </c>
      <c r="C17">
        <f t="shared" si="1"/>
        <v>1927.2604006596302</v>
      </c>
      <c r="D17">
        <f>C17-I6</f>
        <v>-686.02309462555604</v>
      </c>
    </row>
    <row r="18" spans="1:4" x14ac:dyDescent="0.3">
      <c r="A18">
        <v>2013.3999999999996</v>
      </c>
      <c r="B18" s="3">
        <f>'GVA - ceny stałe 2015 i 2024'!P77</f>
        <v>46572.27938491675</v>
      </c>
      <c r="C18">
        <f t="shared" si="1"/>
        <v>-375.74628273464623</v>
      </c>
      <c r="D18">
        <f>C18-I7</f>
        <v>1383.1669246488245</v>
      </c>
    </row>
    <row r="19" spans="1:4" x14ac:dyDescent="0.3">
      <c r="A19">
        <v>2014.1</v>
      </c>
      <c r="B19" s="3">
        <f>'GVA - ceny stałe 2015 i 2024'!P78</f>
        <v>42502.205073439385</v>
      </c>
      <c r="C19">
        <f t="shared" si="1"/>
        <v>-4070.074311477365</v>
      </c>
      <c r="D19">
        <f>C19-I4</f>
        <v>-560.54464554745073</v>
      </c>
    </row>
    <row r="20" spans="1:4" x14ac:dyDescent="0.3">
      <c r="A20">
        <v>2014.1999999999998</v>
      </c>
      <c r="B20" s="3">
        <f>'GVA - ceny stałe 2015 i 2024'!P79</f>
        <v>45152.924304367407</v>
      </c>
      <c r="C20">
        <f t="shared" si="1"/>
        <v>2650.7192309280217</v>
      </c>
      <c r="D20">
        <f>C20-I5</f>
        <v>-4.4401471001774553</v>
      </c>
    </row>
    <row r="21" spans="1:4" x14ac:dyDescent="0.3">
      <c r="A21">
        <v>2014.2999999999997</v>
      </c>
      <c r="B21" s="3">
        <f>'GVA - ceny stałe 2015 i 2024'!P80</f>
        <v>47006.33112531712</v>
      </c>
      <c r="C21">
        <f t="shared" si="1"/>
        <v>1853.4068209497127</v>
      </c>
      <c r="D21">
        <f>C21-I6</f>
        <v>-759.87667433547358</v>
      </c>
    </row>
    <row r="22" spans="1:4" x14ac:dyDescent="0.3">
      <c r="A22">
        <v>2014.3999999999996</v>
      </c>
      <c r="B22" s="3">
        <f>'GVA - ceny stałe 2015 i 2024'!P81</f>
        <v>46189.347985176835</v>
      </c>
      <c r="C22">
        <f t="shared" si="1"/>
        <v>-816.98314014028438</v>
      </c>
      <c r="D22">
        <f>C22-I7</f>
        <v>941.93006724318639</v>
      </c>
    </row>
    <row r="23" spans="1:4" x14ac:dyDescent="0.3">
      <c r="A23">
        <v>2015.1</v>
      </c>
      <c r="B23" s="3">
        <f>'GVA - ceny stałe 2015 i 2024'!P82</f>
        <v>42803.273254840555</v>
      </c>
      <c r="C23">
        <f t="shared" si="1"/>
        <v>-3386.0747303362805</v>
      </c>
      <c r="D23">
        <f>C23-I4</f>
        <v>123.45493559363376</v>
      </c>
    </row>
    <row r="24" spans="1:4" x14ac:dyDescent="0.3">
      <c r="A24">
        <v>2015.1999999999998</v>
      </c>
      <c r="B24" s="3">
        <f>'GVA - ceny stałe 2015 i 2024'!P83</f>
        <v>45218.17930143165</v>
      </c>
      <c r="C24">
        <f t="shared" si="1"/>
        <v>2414.9060465910952</v>
      </c>
      <c r="D24">
        <f>C24-I5</f>
        <v>-240.25333143710395</v>
      </c>
    </row>
    <row r="25" spans="1:4" x14ac:dyDescent="0.3">
      <c r="A25">
        <v>2015.2999999999997</v>
      </c>
      <c r="B25" s="3">
        <f>'GVA - ceny stałe 2015 i 2024'!P84</f>
        <v>46188.523463553276</v>
      </c>
      <c r="C25">
        <f t="shared" si="1"/>
        <v>970.34416212162614</v>
      </c>
      <c r="D25">
        <f>C25-I6</f>
        <v>-1642.9393331635601</v>
      </c>
    </row>
    <row r="26" spans="1:4" x14ac:dyDescent="0.3">
      <c r="A26">
        <v>2015.3999999999996</v>
      </c>
      <c r="B26" s="3">
        <f>'GVA - ceny stałe 2015 i 2024'!P85</f>
        <v>46653.671448042027</v>
      </c>
      <c r="C26">
        <f t="shared" si="1"/>
        <v>465.14798448875081</v>
      </c>
      <c r="D26">
        <f>C26-I7</f>
        <v>2224.0611918722216</v>
      </c>
    </row>
    <row r="27" spans="1:4" x14ac:dyDescent="0.3">
      <c r="A27">
        <v>2016.1</v>
      </c>
      <c r="B27" s="3">
        <f>'GVA - ceny stałe 2015 i 2024'!P86</f>
        <v>42201.136892038208</v>
      </c>
      <c r="C27">
        <f t="shared" si="1"/>
        <v>-4452.5345560038186</v>
      </c>
      <c r="D27">
        <f>C27-I4</f>
        <v>-943.00489007390433</v>
      </c>
    </row>
    <row r="28" spans="1:4" x14ac:dyDescent="0.3">
      <c r="A28">
        <v>2016.1999999999998</v>
      </c>
      <c r="B28" s="3">
        <f>'GVA - ceny stałe 2015 i 2024'!P87</f>
        <v>44919.702473704514</v>
      </c>
      <c r="C28">
        <f t="shared" si="1"/>
        <v>2718.5655816663057</v>
      </c>
      <c r="D28">
        <f t="shared" ref="D28:D30" si="2">C28-I5</f>
        <v>63.40620363810649</v>
      </c>
    </row>
    <row r="29" spans="1:4" x14ac:dyDescent="0.3">
      <c r="A29">
        <v>2016.2999999999997</v>
      </c>
      <c r="B29" s="3">
        <f>'GVA - ceny stałe 2015 i 2024'!P88</f>
        <v>46927.294838259128</v>
      </c>
      <c r="C29">
        <f t="shared" si="1"/>
        <v>2007.5923645546136</v>
      </c>
      <c r="D29">
        <f t="shared" si="2"/>
        <v>-605.6911307305727</v>
      </c>
    </row>
    <row r="30" spans="1:4" x14ac:dyDescent="0.3">
      <c r="A30">
        <v>2016.3999999999996</v>
      </c>
      <c r="B30" s="3">
        <f>'GVA - ceny stałe 2015 i 2024'!P89</f>
        <v>46187.934519536451</v>
      </c>
      <c r="C30">
        <f t="shared" si="1"/>
        <v>-739.36031872267631</v>
      </c>
      <c r="D30">
        <f t="shared" si="2"/>
        <v>1019.5528886607945</v>
      </c>
    </row>
    <row r="31" spans="1:4" x14ac:dyDescent="0.3">
      <c r="A31">
        <v>2017.1</v>
      </c>
      <c r="B31" s="3">
        <f>'GVA - ceny stałe 2015 i 2024'!P90</f>
        <v>42947.211172552692</v>
      </c>
      <c r="C31">
        <f t="shared" si="1"/>
        <v>-3240.7233469837593</v>
      </c>
      <c r="D31">
        <f>C31-I4</f>
        <v>268.80631894615499</v>
      </c>
    </row>
    <row r="32" spans="1:4" x14ac:dyDescent="0.3">
      <c r="A32">
        <v>2017.1999999999998</v>
      </c>
      <c r="B32" s="3">
        <f>'GVA - ceny stałe 2015 i 2024'!P91</f>
        <v>45765.543870669237</v>
      </c>
      <c r="C32">
        <f t="shared" si="1"/>
        <v>2818.3326981165446</v>
      </c>
      <c r="D32">
        <f>C32-I5</f>
        <v>163.17332008834546</v>
      </c>
    </row>
    <row r="33" spans="1:4" x14ac:dyDescent="0.3">
      <c r="A33">
        <v>2017.2999999999997</v>
      </c>
      <c r="B33" s="3">
        <f>'GVA - ceny stałe 2015 i 2024'!P92</f>
        <v>49129.94546118634</v>
      </c>
      <c r="C33">
        <f t="shared" si="1"/>
        <v>3364.4015905171036</v>
      </c>
      <c r="D33">
        <f>C33-I6</f>
        <v>751.11809523191732</v>
      </c>
    </row>
    <row r="34" spans="1:4" x14ac:dyDescent="0.3">
      <c r="A34">
        <v>2017.3999999999996</v>
      </c>
      <c r="B34" s="3">
        <f>'GVA - ceny stałe 2015 i 2024'!P93</f>
        <v>46441.651601984864</v>
      </c>
      <c r="C34">
        <f t="shared" si="1"/>
        <v>-2688.2938592014762</v>
      </c>
      <c r="D34">
        <f t="shared" ref="D34" si="3">C34-I7</f>
        <v>-929.38065181800539</v>
      </c>
    </row>
    <row r="35" spans="1:4" x14ac:dyDescent="0.3">
      <c r="A35">
        <v>2018.1</v>
      </c>
      <c r="B35" s="3">
        <f>'GVA - ceny stałe 2015 i 2024'!P94</f>
        <v>43493.633431363356</v>
      </c>
      <c r="C35">
        <f t="shared" si="1"/>
        <v>-2948.018170621508</v>
      </c>
      <c r="D35">
        <f>C35-I4</f>
        <v>561.51149530840621</v>
      </c>
    </row>
    <row r="36" spans="1:4" x14ac:dyDescent="0.3">
      <c r="A36">
        <v>2018.1999999999998</v>
      </c>
      <c r="B36" s="3">
        <f>'GVA - ceny stałe 2015 i 2024'!P95</f>
        <v>46897.965426221235</v>
      </c>
      <c r="C36">
        <f t="shared" si="1"/>
        <v>3404.3319948578792</v>
      </c>
      <c r="D36">
        <f>C36-I5</f>
        <v>749.17261682968001</v>
      </c>
    </row>
    <row r="37" spans="1:4" x14ac:dyDescent="0.3">
      <c r="A37">
        <v>2018.2999999999997</v>
      </c>
      <c r="B37" s="3">
        <f>'GVA - ceny stałe 2015 i 2024'!P96</f>
        <v>49690.737954007549</v>
      </c>
      <c r="C37">
        <f t="shared" si="1"/>
        <v>2792.7725277863137</v>
      </c>
      <c r="D37">
        <f>C37-I6</f>
        <v>179.48903250112744</v>
      </c>
    </row>
    <row r="38" spans="1:4" x14ac:dyDescent="0.3">
      <c r="A38">
        <v>2018.3999999999996</v>
      </c>
      <c r="B38" s="3">
        <f>'GVA - ceny stałe 2015 i 2024'!P97</f>
        <v>47382.784140871947</v>
      </c>
      <c r="C38">
        <f t="shared" si="1"/>
        <v>-2307.9538131356021</v>
      </c>
      <c r="D38">
        <f t="shared" ref="D38" si="4">C38-I7</f>
        <v>-549.04060575213134</v>
      </c>
    </row>
    <row r="39" spans="1:4" x14ac:dyDescent="0.3">
      <c r="A39">
        <v>2019.1</v>
      </c>
      <c r="B39" s="3">
        <f>'GVA - ceny stałe 2015 i 2024'!P98</f>
        <v>43867.612882047521</v>
      </c>
      <c r="C39">
        <f t="shared" si="1"/>
        <v>-3515.1712588244263</v>
      </c>
      <c r="D39">
        <f>C39-I4</f>
        <v>-5.6415928945120868</v>
      </c>
    </row>
    <row r="40" spans="1:4" x14ac:dyDescent="0.3">
      <c r="A40">
        <v>2019.1999999999998</v>
      </c>
      <c r="B40" s="3">
        <f>'GVA - ceny stałe 2015 i 2024'!P99</f>
        <v>47970.314692057022</v>
      </c>
      <c r="C40">
        <f t="shared" si="1"/>
        <v>4102.7018100095011</v>
      </c>
      <c r="D40">
        <f>C40-I5</f>
        <v>1447.5424319813019</v>
      </c>
    </row>
    <row r="41" spans="1:4" x14ac:dyDescent="0.3">
      <c r="A41">
        <v>2019.2999999999997</v>
      </c>
      <c r="B41" s="3">
        <f>'GVA - ceny stałe 2015 i 2024'!P100</f>
        <v>51163.569151284646</v>
      </c>
      <c r="C41">
        <f t="shared" si="1"/>
        <v>3193.2544592276245</v>
      </c>
      <c r="D41">
        <f>C41-I6</f>
        <v>579.97096394243817</v>
      </c>
    </row>
    <row r="42" spans="1:4" x14ac:dyDescent="0.3">
      <c r="A42">
        <v>2019.3999999999996</v>
      </c>
      <c r="B42" s="3">
        <f>'GVA - ceny stałe 2015 i 2024'!P101</f>
        <v>47785.150693167096</v>
      </c>
      <c r="C42">
        <f t="shared" si="1"/>
        <v>-3378.4184581175505</v>
      </c>
      <c r="D42">
        <f>C42-I7</f>
        <v>-1619.5052507340797</v>
      </c>
    </row>
    <row r="43" spans="1:4" x14ac:dyDescent="0.3">
      <c r="A43">
        <v>2020.1</v>
      </c>
      <c r="B43" s="3">
        <f>'GVA - ceny stałe 2015 i 2024'!P102</f>
        <v>42853.686862680821</v>
      </c>
      <c r="C43">
        <f t="shared" si="1"/>
        <v>-4931.4638304862747</v>
      </c>
      <c r="D43">
        <f>C43-I4</f>
        <v>-1421.9341645563604</v>
      </c>
    </row>
    <row r="44" spans="1:4" x14ac:dyDescent="0.3">
      <c r="A44">
        <v>2020.1999999999998</v>
      </c>
      <c r="B44" s="3">
        <f>'GVA - ceny stałe 2015 i 2024'!P103</f>
        <v>40544.437372708206</v>
      </c>
      <c r="C44">
        <f t="shared" si="1"/>
        <v>-2309.2494899726153</v>
      </c>
      <c r="D44">
        <f t="shared" ref="D44:D46" si="5">C44-I5</f>
        <v>-4964.4088680008144</v>
      </c>
    </row>
    <row r="45" spans="1:4" x14ac:dyDescent="0.3">
      <c r="A45">
        <v>2020.2999999999997</v>
      </c>
      <c r="B45" s="3">
        <f>'GVA - ceny stałe 2015 i 2024'!P104</f>
        <v>45910.541887611667</v>
      </c>
      <c r="C45">
        <f t="shared" si="1"/>
        <v>5366.1045149034617</v>
      </c>
      <c r="D45">
        <f t="shared" si="5"/>
        <v>2752.8210196182754</v>
      </c>
    </row>
    <row r="46" spans="1:4" x14ac:dyDescent="0.3">
      <c r="A46">
        <v>2020.3999999999996</v>
      </c>
      <c r="B46" s="3">
        <f>'GVA - ceny stałe 2015 i 2024'!P105</f>
        <v>44119.209766035354</v>
      </c>
      <c r="C46">
        <f t="shared" si="1"/>
        <v>-1791.3321215763135</v>
      </c>
      <c r="D46">
        <f t="shared" si="5"/>
        <v>-32.418914192842749</v>
      </c>
    </row>
    <row r="47" spans="1:4" x14ac:dyDescent="0.3">
      <c r="A47">
        <v>2021.1</v>
      </c>
      <c r="B47" s="3">
        <f>'GVA - ceny stałe 2015 i 2024'!P106</f>
        <v>42176.401243331544</v>
      </c>
      <c r="C47">
        <f t="shared" si="1"/>
        <v>-1942.80852270381</v>
      </c>
      <c r="D47">
        <f>C47-I4</f>
        <v>1566.7211432261042</v>
      </c>
    </row>
    <row r="48" spans="1:4" x14ac:dyDescent="0.3">
      <c r="A48">
        <v>2021.1999999999998</v>
      </c>
      <c r="B48" s="3">
        <f>'GVA - ceny stałe 2015 i 2024'!P107</f>
        <v>45747.993338967841</v>
      </c>
      <c r="C48">
        <f t="shared" si="1"/>
        <v>3571.592095636297</v>
      </c>
      <c r="D48">
        <f>C48-I5</f>
        <v>916.43271760809785</v>
      </c>
    </row>
    <row r="49" spans="1:4" x14ac:dyDescent="0.3">
      <c r="A49">
        <v>2021.2999999999997</v>
      </c>
      <c r="B49" s="3">
        <f>'GVA - ceny stałe 2015 i 2024'!P108</f>
        <v>51321.406147793867</v>
      </c>
      <c r="C49">
        <f t="shared" si="1"/>
        <v>5573.4128088260259</v>
      </c>
      <c r="D49">
        <f>C49-I6</f>
        <v>2960.1293135408396</v>
      </c>
    </row>
    <row r="50" spans="1:4" x14ac:dyDescent="0.3">
      <c r="A50">
        <v>2021.3999999999996</v>
      </c>
      <c r="B50" s="3">
        <f>'GVA - ceny stałe 2015 i 2024'!P109</f>
        <v>48273.267494312036</v>
      </c>
      <c r="C50">
        <f t="shared" si="1"/>
        <v>-3048.1386534818303</v>
      </c>
      <c r="D50">
        <f>C50-I7</f>
        <v>-1289.2254460983595</v>
      </c>
    </row>
    <row r="51" spans="1:4" x14ac:dyDescent="0.3">
      <c r="A51">
        <v>2022.1</v>
      </c>
      <c r="B51" s="3">
        <f>'GVA - ceny stałe 2015 i 2024'!P110</f>
        <v>44808.038688114408</v>
      </c>
      <c r="C51">
        <f t="shared" si="1"/>
        <v>-3465.2288061976287</v>
      </c>
      <c r="D51">
        <f>C51-I4</f>
        <v>44.300859732285517</v>
      </c>
    </row>
    <row r="52" spans="1:4" x14ac:dyDescent="0.3">
      <c r="A52">
        <v>2022.1999999999998</v>
      </c>
      <c r="B52" s="3">
        <f>'GVA - ceny stałe 2015 i 2024'!P111</f>
        <v>48741.006832474814</v>
      </c>
      <c r="C52">
        <f t="shared" si="1"/>
        <v>3932.9681443604059</v>
      </c>
      <c r="D52">
        <f>C52-I5</f>
        <v>1277.8087663322067</v>
      </c>
    </row>
    <row r="53" spans="1:4" x14ac:dyDescent="0.3">
      <c r="A53">
        <v>2022.2999999999997</v>
      </c>
      <c r="B53" s="3">
        <f>'GVA - ceny stałe 2015 i 2024'!P112</f>
        <v>53648.206169467885</v>
      </c>
      <c r="C53">
        <f t="shared" si="1"/>
        <v>4907.1993369930715</v>
      </c>
      <c r="D53">
        <f>C53-I6</f>
        <v>2293.9158417078852</v>
      </c>
    </row>
    <row r="54" spans="1:4" x14ac:dyDescent="0.3">
      <c r="A54">
        <v>2022.3999999999996</v>
      </c>
      <c r="B54" s="3">
        <f>'GVA - ceny stałe 2015 i 2024'!P113</f>
        <v>50252.119390845575</v>
      </c>
      <c r="C54">
        <f t="shared" si="1"/>
        <v>-3396.0867786223098</v>
      </c>
      <c r="D54">
        <f>C54-I7</f>
        <v>-1637.173571238839</v>
      </c>
    </row>
    <row r="55" spans="1:4" x14ac:dyDescent="0.3">
      <c r="A55">
        <v>2023.1</v>
      </c>
      <c r="B55" s="3">
        <f>'GVA - ceny stałe 2015 i 2024'!P114</f>
        <v>46139.641110156772</v>
      </c>
      <c r="C55">
        <f t="shared" si="1"/>
        <v>-4112.4782806888034</v>
      </c>
      <c r="D55">
        <f>C55-I4</f>
        <v>-602.94861475888911</v>
      </c>
    </row>
    <row r="56" spans="1:4" x14ac:dyDescent="0.3">
      <c r="A56">
        <v>2023.1999999999998</v>
      </c>
      <c r="B56" s="3">
        <f>'GVA - ceny stałe 2015 i 2024'!P115</f>
        <v>49919.483810142548</v>
      </c>
      <c r="C56">
        <f t="shared" si="1"/>
        <v>3779.8426999857766</v>
      </c>
      <c r="D56">
        <f>C56-I5</f>
        <v>1124.6833219575774</v>
      </c>
    </row>
    <row r="57" spans="1:4" x14ac:dyDescent="0.3">
      <c r="A57">
        <v>2023.2999999999997</v>
      </c>
      <c r="B57" s="3">
        <f>'GVA - ceny stałe 2015 i 2024'!P116</f>
        <v>54355.52793367525</v>
      </c>
      <c r="C57">
        <f t="shared" si="1"/>
        <v>4436.0441235327016</v>
      </c>
      <c r="D57">
        <f>C57-I6</f>
        <v>1822.7606282475153</v>
      </c>
    </row>
    <row r="58" spans="1:4" x14ac:dyDescent="0.3">
      <c r="A58">
        <v>2023.3999999999996</v>
      </c>
      <c r="B58" s="3">
        <f>'GVA - ceny stałe 2015 i 2024'!P117</f>
        <v>51381.596226313428</v>
      </c>
      <c r="C58">
        <f t="shared" si="1"/>
        <v>-2973.9317073618222</v>
      </c>
      <c r="D58">
        <f>C58-I7</f>
        <v>-1215.0184999783514</v>
      </c>
    </row>
    <row r="59" spans="1:4" x14ac:dyDescent="0.3">
      <c r="A59">
        <v>2024.1</v>
      </c>
      <c r="B59" s="3">
        <f>'GVA - ceny stałe 2015 i 2024'!P118</f>
        <v>46441.887179591591</v>
      </c>
      <c r="C59">
        <f t="shared" si="1"/>
        <v>-4939.7090467218368</v>
      </c>
      <c r="D59">
        <f>C59-I4</f>
        <v>-1430.1793807919225</v>
      </c>
    </row>
    <row r="60" spans="1:4" x14ac:dyDescent="0.3">
      <c r="A60">
        <v>2024.1999999999998</v>
      </c>
      <c r="B60" s="3">
        <f>'GVA - ceny stałe 2015 i 2024'!P119</f>
        <v>51057.677017059439</v>
      </c>
      <c r="C60">
        <f t="shared" si="1"/>
        <v>4615.789837467848</v>
      </c>
      <c r="D60">
        <f>C60-I5</f>
        <v>1960.6304594396488</v>
      </c>
    </row>
    <row r="61" spans="1:4" x14ac:dyDescent="0.3">
      <c r="A61">
        <v>2024.2999999999997</v>
      </c>
      <c r="B61" s="3">
        <f>'GVA - ceny stałe 2015 i 2024'!P120</f>
        <v>55424.343535410102</v>
      </c>
      <c r="C61">
        <f t="shared" si="1"/>
        <v>4366.666518350663</v>
      </c>
      <c r="D61">
        <f>C61-I6</f>
        <v>1753.3830230654767</v>
      </c>
    </row>
    <row r="62" spans="1:4" x14ac:dyDescent="0.3">
      <c r="A62">
        <v>2024.3999999999996</v>
      </c>
      <c r="B62" s="3">
        <f>'GVA - ceny stałe 2015 i 2024'!P121</f>
        <v>52502.592267939013</v>
      </c>
      <c r="C62">
        <f t="shared" si="1"/>
        <v>-2921.7512674710888</v>
      </c>
      <c r="D62">
        <f>C62-I7</f>
        <v>-1162.838060087618</v>
      </c>
    </row>
    <row r="63" spans="1:4" x14ac:dyDescent="0.3">
      <c r="A63" s="3"/>
    </row>
    <row r="64" spans="1:4" x14ac:dyDescent="0.3">
      <c r="B64" s="3"/>
    </row>
  </sheetData>
  <mergeCells count="1">
    <mergeCell ref="A1:D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f20a811-f17a-454b-a878-f104ad76a41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A02DD375EACAC4FB15EEC8FD8FFC49B" ma:contentTypeVersion="15" ma:contentTypeDescription="Utwórz nowy dokument." ma:contentTypeScope="" ma:versionID="d9297231a7b881470d0b5bd159be8dd9">
  <xsd:schema xmlns:xsd="http://www.w3.org/2001/XMLSchema" xmlns:xs="http://www.w3.org/2001/XMLSchema" xmlns:p="http://schemas.microsoft.com/office/2006/metadata/properties" xmlns:ns3="df20a811-f17a-454b-a878-f104ad76a41c" xmlns:ns4="e4643e21-c9d5-45ab-a099-62e58f861c93" targetNamespace="http://schemas.microsoft.com/office/2006/metadata/properties" ma:root="true" ma:fieldsID="ba0afb4d3d7e623bf79a49ad736390d0" ns3:_="" ns4:_="">
    <xsd:import namespace="df20a811-f17a-454b-a878-f104ad76a41c"/>
    <xsd:import namespace="e4643e21-c9d5-45ab-a099-62e58f861c9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a811-f17a-454b-a878-f104ad76a4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643e21-c9d5-45ab-a099-62e58f861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E47728-4C8C-47B1-899E-5FAF57F56FF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e4643e21-c9d5-45ab-a099-62e58f861c93"/>
    <ds:schemaRef ds:uri="http://purl.org/dc/terms/"/>
    <ds:schemaRef ds:uri="http://schemas.microsoft.com/office/2006/metadata/properties"/>
    <ds:schemaRef ds:uri="df20a811-f17a-454b-a878-f104ad76a41c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D51091B-BF34-400C-B9FD-C73007A83D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20a811-f17a-454b-a878-f104ad76a41c"/>
    <ds:schemaRef ds:uri="e4643e21-c9d5-45ab-a099-62e58f861c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8EFEA6-9E00-44E6-BE4C-E0D8BB5571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GVA Eurostat</vt:lpstr>
      <vt:lpstr>GVA - ceny stałe 2015 i 2024</vt:lpstr>
      <vt:lpstr>Analiza GVA - Grecja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Hołowaty</dc:creator>
  <cp:lastModifiedBy>Kacper Hołowaty</cp:lastModifiedBy>
  <dcterms:created xsi:type="dcterms:W3CDTF">2025-11-06T14:06:58Z</dcterms:created>
  <dcterms:modified xsi:type="dcterms:W3CDTF">2025-11-09T10:41:01Z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0x010100AA02DD375EACAC4FB15EEC8FD8FFC49B</vt:lpwstr>
  </property>
</Properties>
</file>